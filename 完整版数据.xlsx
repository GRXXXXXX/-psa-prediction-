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<sst xmlns="http://schemas.openxmlformats.org/spreadsheetml/2006/main" count="247" uniqueCount="113">
  <si>
    <t>病例编号</t>
  </si>
  <si>
    <t>年龄</t>
  </si>
  <si>
    <t>f-PSA(ng/ml)</t>
  </si>
  <si>
    <t>t-PSA(ng/ml)</t>
  </si>
  <si>
    <t>f-PSA/t-PSA(%)</t>
  </si>
  <si>
    <t>P2PSA（pg/ml）</t>
  </si>
  <si>
    <t>前列腺大小（cm）</t>
  </si>
  <si>
    <t>计算得前列腺体积（ml）</t>
  </si>
  <si>
    <t>PSAD</t>
  </si>
  <si>
    <t>PHI</t>
  </si>
  <si>
    <t>穿刺结果（恶性/良性）</t>
  </si>
  <si>
    <t>4.8*3.7*3.2</t>
  </si>
  <si>
    <t>恶性</t>
  </si>
  <si>
    <t>4.1*3.2*3.3</t>
  </si>
  <si>
    <t>5.4*3.8*3.8</t>
  </si>
  <si>
    <t>5.0*3.1*3.9</t>
  </si>
  <si>
    <t>5.1*4.9*3.7</t>
  </si>
  <si>
    <t>4.5*3.7*3.5</t>
  </si>
  <si>
    <t>4.9*4.2*3.6</t>
  </si>
  <si>
    <t>4.1*3.7*3.1</t>
  </si>
  <si>
    <t>4.5*3.3*3.2</t>
  </si>
  <si>
    <t>5.1*3.5*4.2</t>
  </si>
  <si>
    <t>7.7*5.6*4.7</t>
  </si>
  <si>
    <t>7.7*6.1*5.0</t>
  </si>
  <si>
    <t>5.1*3.5*3.9</t>
  </si>
  <si>
    <t>5.0*3.6*4.0</t>
  </si>
  <si>
    <t>5.0*3.8*3.8</t>
  </si>
  <si>
    <t>5.3*4.0*5.4</t>
  </si>
  <si>
    <t>4.1*2.6*3.1</t>
  </si>
  <si>
    <t>5.8*4.1*4.7</t>
  </si>
  <si>
    <t>5.6*3.5*4.8</t>
  </si>
  <si>
    <t>良性</t>
  </si>
  <si>
    <t>4.3*3.4*5.9</t>
  </si>
  <si>
    <t>5.5*4.4*4.6</t>
  </si>
  <si>
    <t>5.0*4.0*5.4</t>
  </si>
  <si>
    <t>6.0*3.6*5.7</t>
  </si>
  <si>
    <t>5.9*4.8*5.8</t>
  </si>
  <si>
    <t>5.5*4.1*3.9</t>
  </si>
  <si>
    <t>6.2*5.4*6.6</t>
  </si>
  <si>
    <t>6.3*4.6*5.1</t>
  </si>
  <si>
    <t>5.1*4.7*6.0</t>
  </si>
  <si>
    <t>5.2*4.6*6.3</t>
  </si>
  <si>
    <t>5.7*4.0*4.1</t>
  </si>
  <si>
    <t>4.3*3.3*3.2</t>
  </si>
  <si>
    <t>5.5*3.4*6.1</t>
  </si>
  <si>
    <t>5.5*3.8*4.4</t>
  </si>
  <si>
    <t>4.6*3.5*5.4</t>
  </si>
  <si>
    <t>6.8*4.7*6.4</t>
  </si>
  <si>
    <t>5.3*5.4*4.7</t>
  </si>
  <si>
    <t>4.9*3.7*3.7</t>
  </si>
  <si>
    <t>5.9*4.9*5.1</t>
  </si>
  <si>
    <t>5.4*4.4*3.6</t>
  </si>
  <si>
    <t>6.5*4.5*4.7</t>
  </si>
  <si>
    <t>5.6*4.3*6.4</t>
  </si>
  <si>
    <t>6.1*5.8*6.9</t>
  </si>
  <si>
    <t>5.8*4.7*5.4</t>
  </si>
  <si>
    <t>5.2*3.8*3.6</t>
  </si>
  <si>
    <t>5.1*4.6*5.8</t>
  </si>
  <si>
    <t>4.5*4.4*3.8</t>
  </si>
  <si>
    <t>5.3*4.1*4.4</t>
  </si>
  <si>
    <t>6.2*4.8*5.2</t>
  </si>
  <si>
    <t>5.6*3.8*4.3</t>
  </si>
  <si>
    <t>5.3*3.9*5.0</t>
  </si>
  <si>
    <t>5.5*4.4*4.8</t>
  </si>
  <si>
    <t>4.8*4.0*4.7</t>
  </si>
  <si>
    <t>5.1*4.3*4.0</t>
  </si>
  <si>
    <t>6.4*5.3*5.2</t>
  </si>
  <si>
    <t>5.0*4.3*6.9</t>
  </si>
  <si>
    <t>5.6*4.7*3.8</t>
  </si>
  <si>
    <t>7.0*5.5*5.9</t>
  </si>
  <si>
    <t>6.7*3.9*3.9</t>
  </si>
  <si>
    <t>5.4*4.8*5.6</t>
  </si>
  <si>
    <t>5.4*4.4*5.9</t>
  </si>
  <si>
    <t>5.9*5.6*5.7</t>
  </si>
  <si>
    <t>6.6*5.3*5.0</t>
  </si>
  <si>
    <t>4.4*5.0*4.7</t>
  </si>
  <si>
    <t>5.6*4.3*5.3</t>
  </si>
  <si>
    <t>4.8*4.8*6.2</t>
  </si>
  <si>
    <t>4.9*3.9*4.2</t>
  </si>
  <si>
    <t>5.2*5.0*4.5</t>
  </si>
  <si>
    <t>6.8*6.0*5.9</t>
  </si>
  <si>
    <t>5.2*3.7*4.0</t>
  </si>
  <si>
    <t>5.3*4.0*4.7</t>
  </si>
  <si>
    <t>5.0*3.8*4.8</t>
  </si>
  <si>
    <t>5.9*4.4*4.1</t>
  </si>
  <si>
    <t>5.5*5.0*5.2</t>
  </si>
  <si>
    <t>6.4*5.8*5.4</t>
  </si>
  <si>
    <t>5.4*4.0*4.2</t>
  </si>
  <si>
    <t>6.5*4.1*4.3</t>
  </si>
  <si>
    <t>5.2*4.9*4.6</t>
  </si>
  <si>
    <t>5.6*5.3*5.9</t>
  </si>
  <si>
    <t>6.5*5.6*6.2</t>
  </si>
  <si>
    <t>6.0*5.2*5.9</t>
  </si>
  <si>
    <t>4.8*3.6*4.5</t>
  </si>
  <si>
    <t>5.2*4.6*4.2</t>
  </si>
  <si>
    <t>5.8*4.9*3.5</t>
  </si>
  <si>
    <t>7.0*5.5*6.2</t>
  </si>
  <si>
    <t>6.3*4.9*5.0</t>
  </si>
  <si>
    <t>5.3*4.5*5.7</t>
  </si>
  <si>
    <t>4.5*3.5*5.4</t>
  </si>
  <si>
    <t>5.8*4.6*4.0</t>
  </si>
  <si>
    <t>6.0*4.2*5.1</t>
  </si>
  <si>
    <t>4.2*4.0*3.9</t>
  </si>
  <si>
    <t>5.6*4.1*4.4</t>
  </si>
  <si>
    <t>5.0*4.0*3.5</t>
  </si>
  <si>
    <t>6.1*6.0*5.2</t>
  </si>
  <si>
    <t>4.7*3.9*4.9</t>
  </si>
  <si>
    <t>5.2*4.1*4.5</t>
  </si>
  <si>
    <t>4.7*4.3*3.8</t>
  </si>
  <si>
    <t>7.1*5.6*7.0</t>
  </si>
  <si>
    <t>7.4*6.0*7.9</t>
  </si>
  <si>
    <t>6.5*6.1*5.5</t>
  </si>
  <si>
    <t>4.6*4.0*3.6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</si>
</sst>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70" workbookViewId="0">
      <selection activeCell="E33" sqref="E33"/>
    </sheetView>
  </sheetViews>
  <sheetFormatPr defaultColWidth="9" defaultRowHeight="14"/>
  <cols>
    <col min="3" max="3" width="10.8333333333333" customWidth="1"/>
    <col min="4" max="4" width="11.4166666666667" customWidth="1"/>
    <col min="5" max="5" width="12.6666666666667" customWidth="1"/>
    <col min="6" max="7" width="16.4166666666667" customWidth="1"/>
    <col min="8" max="8" width="21.75" customWidth="1"/>
    <col min="9" max="9" width="12.625"/>
    <col min="11" max="11" width="21.58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58</v>
      </c>
      <c r="C2" s="2">
        <v>0.514</v>
      </c>
      <c r="D2" s="2">
        <v>5.078</v>
      </c>
      <c r="E2" s="3">
        <v>10.12</v>
      </c>
      <c r="F2" s="3">
        <v>11.5</v>
      </c>
      <c r="G2" t="s">
        <v>11</v>
      </c>
      <c r="H2" s="3">
        <v>29.55</v>
      </c>
      <c r="I2" s="3">
        <f t="shared" ref="I2:I65" si="0">D2/H2</f>
        <v>0.171844331641286</v>
      </c>
      <c r="J2" s="3">
        <v>50.39</v>
      </c>
      <c r="K2" t="s">
        <v>12</v>
      </c>
    </row>
    <row r="3" spans="1:11">
      <c r="A3">
        <v>2</v>
      </c>
      <c r="B3" s="1">
        <v>62</v>
      </c>
      <c r="C3" s="2">
        <v>0.44</v>
      </c>
      <c r="D3" s="2">
        <v>4.848</v>
      </c>
      <c r="E3" s="3">
        <v>9.08</v>
      </c>
      <c r="F3" s="3">
        <v>6.98</v>
      </c>
      <c r="G3" t="s">
        <v>13</v>
      </c>
      <c r="H3" s="3">
        <v>22.51</v>
      </c>
      <c r="I3" s="3">
        <f t="shared" si="0"/>
        <v>0.215370946246113</v>
      </c>
      <c r="J3" s="3">
        <v>34.93</v>
      </c>
      <c r="K3" t="s">
        <v>12</v>
      </c>
    </row>
    <row r="4" spans="1:11">
      <c r="A4">
        <v>3</v>
      </c>
      <c r="B4" s="1">
        <v>66</v>
      </c>
      <c r="C4" s="2">
        <v>0.688</v>
      </c>
      <c r="D4" s="2">
        <v>8.785</v>
      </c>
      <c r="E4" s="3">
        <v>7.83</v>
      </c>
      <c r="F4" s="3">
        <v>11.45</v>
      </c>
      <c r="G4" t="s">
        <v>14</v>
      </c>
      <c r="H4" s="3">
        <v>40.55</v>
      </c>
      <c r="I4" s="3">
        <f t="shared" si="0"/>
        <v>0.216646115906289</v>
      </c>
      <c r="J4" s="3">
        <v>49.33</v>
      </c>
      <c r="K4" t="s">
        <v>12</v>
      </c>
    </row>
    <row r="5" spans="1:11">
      <c r="A5">
        <v>4</v>
      </c>
      <c r="B5" s="1">
        <v>66</v>
      </c>
      <c r="C5" s="2">
        <v>0.922</v>
      </c>
      <c r="D5" s="2">
        <v>7.411</v>
      </c>
      <c r="E5" s="3">
        <v>12.44</v>
      </c>
      <c r="F5" s="3">
        <v>27.69</v>
      </c>
      <c r="G5" t="s">
        <v>15</v>
      </c>
      <c r="H5" s="3">
        <v>31.43</v>
      </c>
      <c r="I5" s="3">
        <f t="shared" si="0"/>
        <v>0.235793827553293</v>
      </c>
      <c r="J5" s="3">
        <v>81.76</v>
      </c>
      <c r="K5" t="s">
        <v>12</v>
      </c>
    </row>
    <row r="6" spans="1:11">
      <c r="A6">
        <v>5</v>
      </c>
      <c r="B6" s="1">
        <v>66</v>
      </c>
      <c r="C6" s="2">
        <v>1.255</v>
      </c>
      <c r="D6" s="2">
        <v>9.829</v>
      </c>
      <c r="E6" s="3">
        <v>12.77</v>
      </c>
      <c r="F6" s="3">
        <v>32.14</v>
      </c>
      <c r="G6" t="s">
        <v>16</v>
      </c>
      <c r="H6" s="3">
        <v>48.08</v>
      </c>
      <c r="I6" s="3">
        <f t="shared" si="0"/>
        <v>0.204430116472546</v>
      </c>
      <c r="J6" s="3">
        <v>80.28</v>
      </c>
      <c r="K6" t="s">
        <v>12</v>
      </c>
    </row>
    <row r="7" spans="1:11">
      <c r="A7">
        <v>6</v>
      </c>
      <c r="B7" s="1">
        <v>67</v>
      </c>
      <c r="C7" s="2">
        <v>0.69</v>
      </c>
      <c r="D7" s="2">
        <v>7.473</v>
      </c>
      <c r="E7" s="3">
        <v>9.23</v>
      </c>
      <c r="F7" s="3">
        <v>10.39</v>
      </c>
      <c r="G7" t="s">
        <v>17</v>
      </c>
      <c r="H7" s="3">
        <v>30.3</v>
      </c>
      <c r="I7" s="3">
        <f t="shared" si="0"/>
        <v>0.246633663366337</v>
      </c>
      <c r="J7" s="3">
        <v>41.16</v>
      </c>
      <c r="K7" t="s">
        <v>12</v>
      </c>
    </row>
    <row r="8" spans="1:11">
      <c r="A8">
        <v>7</v>
      </c>
      <c r="B8" s="1">
        <v>69</v>
      </c>
      <c r="C8" s="2">
        <v>0.792</v>
      </c>
      <c r="D8" s="2">
        <v>6.194</v>
      </c>
      <c r="E8" s="3">
        <v>12.79</v>
      </c>
      <c r="F8" s="3">
        <v>15.13</v>
      </c>
      <c r="G8" t="s">
        <v>18</v>
      </c>
      <c r="H8" s="3">
        <v>38.53</v>
      </c>
      <c r="I8" s="3">
        <f t="shared" si="0"/>
        <v>0.160757851025175</v>
      </c>
      <c r="J8" s="3">
        <v>47.54</v>
      </c>
      <c r="K8" t="s">
        <v>12</v>
      </c>
    </row>
    <row r="9" spans="1:11">
      <c r="A9">
        <v>8</v>
      </c>
      <c r="B9" s="1">
        <v>69</v>
      </c>
      <c r="C9" s="2">
        <v>0.977</v>
      </c>
      <c r="D9" s="2">
        <v>4.631</v>
      </c>
      <c r="E9" s="3">
        <v>21.1</v>
      </c>
      <c r="F9" s="3">
        <v>18.95</v>
      </c>
      <c r="G9" t="s">
        <v>19</v>
      </c>
      <c r="H9" s="3">
        <v>24.45</v>
      </c>
      <c r="I9" s="3">
        <f t="shared" si="0"/>
        <v>0.189406952965235</v>
      </c>
      <c r="J9" s="3">
        <v>41.73</v>
      </c>
      <c r="K9" t="s">
        <v>12</v>
      </c>
    </row>
    <row r="10" spans="1:11">
      <c r="A10">
        <v>9</v>
      </c>
      <c r="B10" s="1">
        <v>72</v>
      </c>
      <c r="C10" s="2">
        <v>0.601</v>
      </c>
      <c r="D10" s="2">
        <v>6.282</v>
      </c>
      <c r="E10" s="3">
        <v>9.57</v>
      </c>
      <c r="F10" s="3">
        <v>10.48</v>
      </c>
      <c r="G10" t="s">
        <v>20</v>
      </c>
      <c r="H10" s="3">
        <v>24.71</v>
      </c>
      <c r="I10" s="3">
        <f t="shared" si="0"/>
        <v>0.254229057061918</v>
      </c>
      <c r="J10" s="3">
        <v>43.71</v>
      </c>
      <c r="K10" t="s">
        <v>12</v>
      </c>
    </row>
    <row r="11" spans="1:11">
      <c r="A11">
        <v>10</v>
      </c>
      <c r="B11" s="1">
        <v>74</v>
      </c>
      <c r="C11" s="2">
        <v>1.364</v>
      </c>
      <c r="D11" s="2">
        <v>8.041</v>
      </c>
      <c r="E11" s="3">
        <v>16.96</v>
      </c>
      <c r="F11" s="3">
        <v>14.01</v>
      </c>
      <c r="G11" t="s">
        <v>21</v>
      </c>
      <c r="H11" s="3">
        <v>38.98</v>
      </c>
      <c r="I11" s="3">
        <f t="shared" si="0"/>
        <v>0.206285274499743</v>
      </c>
      <c r="J11" s="3">
        <v>29.13</v>
      </c>
      <c r="K11" t="s">
        <v>12</v>
      </c>
    </row>
    <row r="12" spans="1:11">
      <c r="A12">
        <v>11</v>
      </c>
      <c r="B12" s="1">
        <v>74</v>
      </c>
      <c r="C12" s="2">
        <v>1.218</v>
      </c>
      <c r="D12" s="2">
        <v>5.307</v>
      </c>
      <c r="E12" s="3">
        <v>22.95</v>
      </c>
      <c r="F12" s="3">
        <v>20.09</v>
      </c>
      <c r="G12" t="s">
        <v>22</v>
      </c>
      <c r="H12" s="3">
        <v>105.39</v>
      </c>
      <c r="I12" s="3">
        <f t="shared" si="0"/>
        <v>0.0503558212354113</v>
      </c>
      <c r="J12" s="3">
        <v>37.99</v>
      </c>
      <c r="K12" t="s">
        <v>12</v>
      </c>
    </row>
    <row r="13" spans="1:11">
      <c r="A13">
        <v>12</v>
      </c>
      <c r="B13" s="1">
        <v>75</v>
      </c>
      <c r="C13" s="2">
        <v>1.134</v>
      </c>
      <c r="D13" s="2">
        <v>6.712</v>
      </c>
      <c r="E13" s="3">
        <v>16.9</v>
      </c>
      <c r="F13" s="3">
        <v>25.45</v>
      </c>
      <c r="G13" t="s">
        <v>23</v>
      </c>
      <c r="H13" s="3">
        <v>122.12</v>
      </c>
      <c r="I13" s="3">
        <f t="shared" si="0"/>
        <v>0.0549623321323289</v>
      </c>
      <c r="J13" s="3">
        <v>58.14</v>
      </c>
      <c r="K13" t="s">
        <v>12</v>
      </c>
    </row>
    <row r="14" spans="1:11">
      <c r="A14">
        <v>13</v>
      </c>
      <c r="B14" s="1">
        <v>76</v>
      </c>
      <c r="C14" s="2">
        <v>0.551</v>
      </c>
      <c r="D14" s="2">
        <v>6.792</v>
      </c>
      <c r="E14" s="3">
        <v>8.11</v>
      </c>
      <c r="F14" s="3">
        <v>14.75</v>
      </c>
      <c r="G14" t="s">
        <v>24</v>
      </c>
      <c r="H14" s="3">
        <v>36.2</v>
      </c>
      <c r="I14" s="3">
        <f t="shared" si="0"/>
        <v>0.187624309392265</v>
      </c>
      <c r="J14" s="3">
        <v>69.77</v>
      </c>
      <c r="K14" t="s">
        <v>12</v>
      </c>
    </row>
    <row r="15" spans="1:11">
      <c r="A15">
        <v>14</v>
      </c>
      <c r="B15" s="1">
        <v>77</v>
      </c>
      <c r="C15" s="2">
        <v>0.739</v>
      </c>
      <c r="D15" s="2">
        <v>6.319</v>
      </c>
      <c r="E15" s="3">
        <v>11.69</v>
      </c>
      <c r="F15" s="3">
        <v>30.16</v>
      </c>
      <c r="G15" t="s">
        <v>25</v>
      </c>
      <c r="H15" s="3">
        <v>37.44</v>
      </c>
      <c r="I15" s="3">
        <f t="shared" si="0"/>
        <v>0.168776709401709</v>
      </c>
      <c r="J15" s="3">
        <v>102.59</v>
      </c>
      <c r="K15" t="s">
        <v>12</v>
      </c>
    </row>
    <row r="16" spans="1:11">
      <c r="A16">
        <v>15</v>
      </c>
      <c r="B16" s="1">
        <v>77</v>
      </c>
      <c r="C16" s="2">
        <v>0.557</v>
      </c>
      <c r="D16" s="2">
        <v>4.531</v>
      </c>
      <c r="E16" s="3">
        <v>12.29</v>
      </c>
      <c r="F16" s="3">
        <v>12.55</v>
      </c>
      <c r="G16" t="s">
        <v>26</v>
      </c>
      <c r="H16" s="3">
        <v>37.54</v>
      </c>
      <c r="I16" s="3">
        <f t="shared" si="0"/>
        <v>0.120697922216303</v>
      </c>
      <c r="J16" s="3">
        <v>47.95</v>
      </c>
      <c r="K16" t="s">
        <v>12</v>
      </c>
    </row>
    <row r="17" spans="1:11">
      <c r="A17">
        <v>16</v>
      </c>
      <c r="B17" s="1">
        <v>79</v>
      </c>
      <c r="C17" s="2">
        <v>1.61</v>
      </c>
      <c r="D17" s="2">
        <v>8.042</v>
      </c>
      <c r="E17" s="3">
        <v>20.02</v>
      </c>
      <c r="F17" s="3">
        <v>17.64</v>
      </c>
      <c r="G17" t="s">
        <v>27</v>
      </c>
      <c r="H17" s="3">
        <v>59.53</v>
      </c>
      <c r="I17" s="3">
        <f t="shared" si="0"/>
        <v>0.13509155047875</v>
      </c>
      <c r="J17" s="3">
        <v>31.07</v>
      </c>
      <c r="K17" t="s">
        <v>12</v>
      </c>
    </row>
    <row r="18" spans="1:11">
      <c r="A18">
        <v>17</v>
      </c>
      <c r="B18" s="1">
        <v>79</v>
      </c>
      <c r="C18" s="2">
        <v>0.714</v>
      </c>
      <c r="D18" s="2">
        <v>5.806</v>
      </c>
      <c r="E18" s="3">
        <v>12.3</v>
      </c>
      <c r="F18" s="3">
        <v>19.07</v>
      </c>
      <c r="G18" t="s">
        <v>28</v>
      </c>
      <c r="H18" s="3">
        <v>17.18</v>
      </c>
      <c r="I18" s="3">
        <f t="shared" si="0"/>
        <v>0.337951105937136</v>
      </c>
      <c r="J18" s="3">
        <v>64.34</v>
      </c>
      <c r="K18" t="s">
        <v>12</v>
      </c>
    </row>
    <row r="19" spans="1:11">
      <c r="A19">
        <v>18</v>
      </c>
      <c r="B19" s="1">
        <v>86</v>
      </c>
      <c r="C19" s="2">
        <v>1.189</v>
      </c>
      <c r="D19" s="2">
        <v>5.43</v>
      </c>
      <c r="E19" s="3">
        <v>21.9</v>
      </c>
      <c r="F19" s="3">
        <v>18.21</v>
      </c>
      <c r="G19" t="s">
        <v>29</v>
      </c>
      <c r="H19" s="3">
        <v>58.12</v>
      </c>
      <c r="I19" s="3">
        <f t="shared" si="0"/>
        <v>0.0934273916035788</v>
      </c>
      <c r="J19" s="3">
        <v>35.69</v>
      </c>
      <c r="K19" t="s">
        <v>12</v>
      </c>
    </row>
    <row r="20" spans="1:11">
      <c r="A20">
        <v>19</v>
      </c>
      <c r="B20" s="1">
        <v>50</v>
      </c>
      <c r="C20" s="2">
        <v>0.344</v>
      </c>
      <c r="D20" s="2">
        <v>4.47</v>
      </c>
      <c r="E20" s="3">
        <v>7.7</v>
      </c>
      <c r="F20" s="3">
        <v>4.57</v>
      </c>
      <c r="G20" t="s">
        <v>30</v>
      </c>
      <c r="H20" s="3">
        <v>48.92</v>
      </c>
      <c r="I20" s="3">
        <f t="shared" si="0"/>
        <v>0.0913736713000818</v>
      </c>
      <c r="J20" s="3">
        <v>28.09</v>
      </c>
      <c r="K20" t="s">
        <v>31</v>
      </c>
    </row>
    <row r="21" spans="1:11">
      <c r="A21">
        <v>20</v>
      </c>
      <c r="B21" s="1">
        <v>55</v>
      </c>
      <c r="C21" s="2">
        <v>0.832</v>
      </c>
      <c r="D21" s="2">
        <v>4.678</v>
      </c>
      <c r="E21" s="3">
        <v>17.79</v>
      </c>
      <c r="F21" s="3">
        <v>4.63</v>
      </c>
      <c r="G21" t="s">
        <v>32</v>
      </c>
      <c r="H21" s="3">
        <v>44.85</v>
      </c>
      <c r="I21" s="3">
        <f t="shared" si="0"/>
        <v>0.104303232998885</v>
      </c>
      <c r="J21" s="3">
        <v>12.04</v>
      </c>
      <c r="K21" t="s">
        <v>31</v>
      </c>
    </row>
    <row r="22" spans="1:11">
      <c r="A22">
        <v>21</v>
      </c>
      <c r="B22" s="1">
        <v>57</v>
      </c>
      <c r="C22" s="2">
        <v>1.033</v>
      </c>
      <c r="D22" s="2">
        <v>9.189</v>
      </c>
      <c r="E22" s="3">
        <v>11.24</v>
      </c>
      <c r="F22" s="3">
        <v>11.41</v>
      </c>
      <c r="G22" t="s">
        <v>33</v>
      </c>
      <c r="H22" s="3">
        <v>57.89</v>
      </c>
      <c r="I22" s="3">
        <f t="shared" si="0"/>
        <v>0.158732078079116</v>
      </c>
      <c r="J22" s="3">
        <v>33.5</v>
      </c>
      <c r="K22" t="s">
        <v>31</v>
      </c>
    </row>
    <row r="23" spans="1:11">
      <c r="A23">
        <v>22</v>
      </c>
      <c r="B23" s="1">
        <v>60</v>
      </c>
      <c r="C23" s="2">
        <v>1.098</v>
      </c>
      <c r="D23" s="2">
        <v>7.619</v>
      </c>
      <c r="E23" s="3">
        <v>14.41</v>
      </c>
      <c r="F23" s="3">
        <v>16.19</v>
      </c>
      <c r="G23" t="s">
        <v>34</v>
      </c>
      <c r="H23" s="3">
        <v>56.16</v>
      </c>
      <c r="I23" s="3">
        <f t="shared" si="0"/>
        <v>0.135665954415954</v>
      </c>
      <c r="J23" s="3">
        <v>40.7</v>
      </c>
      <c r="K23" t="s">
        <v>31</v>
      </c>
    </row>
    <row r="24" spans="1:11">
      <c r="A24">
        <v>23</v>
      </c>
      <c r="B24" s="1">
        <v>60</v>
      </c>
      <c r="C24" s="2">
        <v>1.135</v>
      </c>
      <c r="D24" s="2">
        <v>9.335</v>
      </c>
      <c r="E24" s="3">
        <v>12.16</v>
      </c>
      <c r="F24" s="3">
        <v>11.13</v>
      </c>
      <c r="G24" t="s">
        <v>35</v>
      </c>
      <c r="H24" s="3">
        <v>64</v>
      </c>
      <c r="I24" s="3">
        <f t="shared" si="0"/>
        <v>0.145859375</v>
      </c>
      <c r="J24" s="3">
        <v>29.96</v>
      </c>
      <c r="K24" t="s">
        <v>31</v>
      </c>
    </row>
    <row r="25" spans="1:11">
      <c r="A25">
        <v>24</v>
      </c>
      <c r="B25" s="1">
        <v>60</v>
      </c>
      <c r="C25" s="2">
        <v>1.097</v>
      </c>
      <c r="D25" s="2">
        <v>7.095</v>
      </c>
      <c r="E25" s="3">
        <v>15.46</v>
      </c>
      <c r="F25" s="3">
        <v>15.7</v>
      </c>
      <c r="G25" t="s">
        <v>36</v>
      </c>
      <c r="H25" s="3">
        <v>85.41</v>
      </c>
      <c r="I25" s="3">
        <f t="shared" si="0"/>
        <v>0.0830698981383913</v>
      </c>
      <c r="J25" s="3">
        <v>38.14</v>
      </c>
      <c r="K25" t="s">
        <v>31</v>
      </c>
    </row>
    <row r="26" spans="1:11">
      <c r="A26">
        <v>25</v>
      </c>
      <c r="B26" s="1">
        <v>60</v>
      </c>
      <c r="C26" s="2">
        <v>1.613</v>
      </c>
      <c r="D26" s="2">
        <v>8.864</v>
      </c>
      <c r="E26" s="3">
        <v>18.2</v>
      </c>
      <c r="F26" s="3">
        <v>31.7</v>
      </c>
      <c r="G26" t="s">
        <v>37</v>
      </c>
      <c r="H26" s="3">
        <v>45.73</v>
      </c>
      <c r="I26" s="3">
        <f t="shared" si="0"/>
        <v>0.193833369779138</v>
      </c>
      <c r="J26" s="3">
        <v>58.52</v>
      </c>
      <c r="K26" t="s">
        <v>31</v>
      </c>
    </row>
    <row r="27" spans="1:11">
      <c r="A27">
        <v>26</v>
      </c>
      <c r="B27" s="1">
        <v>61</v>
      </c>
      <c r="C27" s="2">
        <v>0.755</v>
      </c>
      <c r="D27" s="2">
        <v>4.004</v>
      </c>
      <c r="E27" s="3">
        <v>18.86</v>
      </c>
      <c r="F27" s="3">
        <v>4.96</v>
      </c>
      <c r="G27" t="s">
        <v>38</v>
      </c>
      <c r="H27" s="3">
        <v>114.9</v>
      </c>
      <c r="I27" s="3">
        <f t="shared" si="0"/>
        <v>0.0348476936466493</v>
      </c>
      <c r="J27" s="3">
        <v>13.15</v>
      </c>
      <c r="K27" t="s">
        <v>31</v>
      </c>
    </row>
    <row r="28" spans="1:11">
      <c r="A28">
        <v>27</v>
      </c>
      <c r="B28" s="1">
        <v>61</v>
      </c>
      <c r="C28" s="2">
        <v>1.347</v>
      </c>
      <c r="D28" s="2">
        <v>7.388</v>
      </c>
      <c r="E28" s="3">
        <v>18.23</v>
      </c>
      <c r="F28" s="3">
        <v>17.7</v>
      </c>
      <c r="G28" t="s">
        <v>39</v>
      </c>
      <c r="H28" s="3">
        <v>76.85</v>
      </c>
      <c r="I28" s="3">
        <f t="shared" si="0"/>
        <v>0.096135328562134</v>
      </c>
      <c r="J28" s="3">
        <v>35.73</v>
      </c>
      <c r="K28" t="s">
        <v>31</v>
      </c>
    </row>
    <row r="29" spans="1:11">
      <c r="A29">
        <v>28</v>
      </c>
      <c r="B29" s="1">
        <v>61</v>
      </c>
      <c r="C29" s="2">
        <v>1.135</v>
      </c>
      <c r="D29" s="2">
        <v>5.002</v>
      </c>
      <c r="E29" s="3">
        <v>22.69</v>
      </c>
      <c r="F29" s="3">
        <v>4.85</v>
      </c>
      <c r="G29" t="s">
        <v>40</v>
      </c>
      <c r="H29" s="3">
        <v>74.79</v>
      </c>
      <c r="I29" s="3">
        <f t="shared" si="0"/>
        <v>0.0668805990105629</v>
      </c>
      <c r="J29" s="3">
        <v>9.56</v>
      </c>
      <c r="K29" t="s">
        <v>31</v>
      </c>
    </row>
    <row r="30" spans="1:11">
      <c r="A30">
        <v>29</v>
      </c>
      <c r="B30" s="1">
        <v>61</v>
      </c>
      <c r="C30" s="2">
        <v>1.386</v>
      </c>
      <c r="D30" s="2">
        <v>7.683</v>
      </c>
      <c r="E30" s="3">
        <v>18.04</v>
      </c>
      <c r="F30" s="3">
        <v>14.29</v>
      </c>
      <c r="G30" s="4" t="s">
        <v>41</v>
      </c>
      <c r="H30" s="3">
        <v>78.36</v>
      </c>
      <c r="I30" s="3">
        <f t="shared" si="0"/>
        <v>0.0980474732006126</v>
      </c>
      <c r="J30" s="3">
        <v>28.58</v>
      </c>
      <c r="K30" t="s">
        <v>31</v>
      </c>
    </row>
    <row r="31" spans="1:11">
      <c r="A31">
        <v>30</v>
      </c>
      <c r="B31" s="1">
        <v>62</v>
      </c>
      <c r="C31" s="2">
        <v>0.728</v>
      </c>
      <c r="D31" s="2">
        <v>4.405</v>
      </c>
      <c r="E31" s="3">
        <v>16.53</v>
      </c>
      <c r="F31" s="3">
        <v>9.58</v>
      </c>
      <c r="G31" t="s">
        <v>42</v>
      </c>
      <c r="H31" s="3">
        <v>48.61</v>
      </c>
      <c r="I31" s="3">
        <f t="shared" si="0"/>
        <v>0.0906192141534664</v>
      </c>
      <c r="J31" s="3">
        <v>27.62</v>
      </c>
      <c r="K31" t="s">
        <v>31</v>
      </c>
    </row>
    <row r="32" spans="1:11">
      <c r="A32">
        <v>31</v>
      </c>
      <c r="B32" s="1">
        <v>62</v>
      </c>
      <c r="C32" s="2">
        <v>1.278</v>
      </c>
      <c r="D32" s="2">
        <v>8.299</v>
      </c>
      <c r="E32" s="3">
        <v>15.4</v>
      </c>
      <c r="F32" s="3">
        <v>29.46</v>
      </c>
      <c r="G32" t="s">
        <v>43</v>
      </c>
      <c r="H32" s="3">
        <v>23.61</v>
      </c>
      <c r="I32" s="3">
        <f t="shared" si="0"/>
        <v>0.35150360016942</v>
      </c>
      <c r="J32" s="3">
        <v>66.41</v>
      </c>
      <c r="K32" t="s">
        <v>31</v>
      </c>
    </row>
    <row r="33" spans="1:11">
      <c r="A33">
        <v>32</v>
      </c>
      <c r="B33" s="1">
        <v>63</v>
      </c>
      <c r="C33" s="2">
        <v>0.528</v>
      </c>
      <c r="D33" s="2">
        <v>4.609</v>
      </c>
      <c r="E33" s="3">
        <v>11.46</v>
      </c>
      <c r="F33" s="3">
        <v>5.26</v>
      </c>
      <c r="G33" t="s">
        <v>44</v>
      </c>
      <c r="H33" s="3">
        <v>59.32</v>
      </c>
      <c r="I33" s="3">
        <f t="shared" si="0"/>
        <v>0.0776972353337829</v>
      </c>
      <c r="J33" s="3">
        <v>21.39</v>
      </c>
      <c r="K33" t="s">
        <v>31</v>
      </c>
    </row>
    <row r="34" spans="1:11">
      <c r="A34">
        <v>33</v>
      </c>
      <c r="B34" s="1">
        <v>63</v>
      </c>
      <c r="C34" s="2">
        <v>1.175</v>
      </c>
      <c r="D34" s="2">
        <v>7.024</v>
      </c>
      <c r="E34" s="3">
        <v>16.73</v>
      </c>
      <c r="F34" s="3">
        <v>12.15</v>
      </c>
      <c r="G34" t="s">
        <v>45</v>
      </c>
      <c r="H34" s="3">
        <v>47.82</v>
      </c>
      <c r="I34" s="3">
        <f t="shared" si="0"/>
        <v>0.146884148891677</v>
      </c>
      <c r="J34" s="3">
        <v>27.41</v>
      </c>
      <c r="K34" t="s">
        <v>31</v>
      </c>
    </row>
    <row r="35" spans="1:11">
      <c r="A35">
        <v>34</v>
      </c>
      <c r="B35" s="1">
        <v>64</v>
      </c>
      <c r="C35" s="2">
        <v>1.324</v>
      </c>
      <c r="D35" s="2">
        <v>6.64</v>
      </c>
      <c r="E35" s="3">
        <v>19.94</v>
      </c>
      <c r="F35" s="3">
        <v>10.87</v>
      </c>
      <c r="G35" t="s">
        <v>46</v>
      </c>
      <c r="H35" s="3">
        <v>45.21</v>
      </c>
      <c r="I35" s="3">
        <f t="shared" si="0"/>
        <v>0.146870161468702</v>
      </c>
      <c r="J35" s="3">
        <v>21.16</v>
      </c>
      <c r="K35" t="s">
        <v>31</v>
      </c>
    </row>
    <row r="36" spans="1:11">
      <c r="A36">
        <v>35</v>
      </c>
      <c r="B36" s="1">
        <v>64</v>
      </c>
      <c r="C36" s="2">
        <v>1.464</v>
      </c>
      <c r="D36" s="2">
        <v>6.532</v>
      </c>
      <c r="E36" s="3">
        <v>22.41</v>
      </c>
      <c r="F36" s="3">
        <v>13.89</v>
      </c>
      <c r="G36" t="s">
        <v>47</v>
      </c>
      <c r="H36" s="3">
        <v>106.36</v>
      </c>
      <c r="I36" s="3">
        <f t="shared" si="0"/>
        <v>0.0614140654381346</v>
      </c>
      <c r="J36" s="3">
        <v>24.25</v>
      </c>
      <c r="K36" t="s">
        <v>31</v>
      </c>
    </row>
    <row r="37" spans="1:11">
      <c r="A37">
        <v>36</v>
      </c>
      <c r="B37" s="1">
        <v>65</v>
      </c>
      <c r="C37" s="2">
        <v>1.668</v>
      </c>
      <c r="D37" s="2">
        <v>9.925</v>
      </c>
      <c r="E37" s="3">
        <v>16.81</v>
      </c>
      <c r="F37" s="3">
        <v>14.67</v>
      </c>
      <c r="G37" t="s">
        <v>48</v>
      </c>
      <c r="H37" s="3">
        <v>69.95</v>
      </c>
      <c r="I37" s="3">
        <f t="shared" si="0"/>
        <v>0.141887062187277</v>
      </c>
      <c r="J37" s="3">
        <v>27.71</v>
      </c>
      <c r="K37" t="s">
        <v>31</v>
      </c>
    </row>
    <row r="38" spans="1:11">
      <c r="A38">
        <v>37</v>
      </c>
      <c r="B38" s="1">
        <v>65</v>
      </c>
      <c r="C38" s="2">
        <v>1.714</v>
      </c>
      <c r="D38" s="2">
        <v>5.537</v>
      </c>
      <c r="E38" s="3">
        <v>30.96</v>
      </c>
      <c r="F38" s="3">
        <v>20.25</v>
      </c>
      <c r="G38" t="s">
        <v>49</v>
      </c>
      <c r="H38" s="3">
        <v>34.88</v>
      </c>
      <c r="I38" s="3">
        <f t="shared" si="0"/>
        <v>0.158744266055046</v>
      </c>
      <c r="J38" s="3">
        <v>27.8</v>
      </c>
      <c r="K38" t="s">
        <v>31</v>
      </c>
    </row>
    <row r="39" spans="1:11">
      <c r="A39">
        <v>38</v>
      </c>
      <c r="B39" s="1">
        <v>65</v>
      </c>
      <c r="C39" s="2">
        <v>0.982</v>
      </c>
      <c r="D39" s="2">
        <v>4.817</v>
      </c>
      <c r="E39" s="3">
        <v>20.39</v>
      </c>
      <c r="F39" s="3">
        <v>7.45</v>
      </c>
      <c r="G39" t="s">
        <v>50</v>
      </c>
      <c r="H39" s="3">
        <v>76.67</v>
      </c>
      <c r="I39" s="3">
        <f t="shared" si="0"/>
        <v>0.0628277031433416</v>
      </c>
      <c r="J39" s="3">
        <v>16.65</v>
      </c>
      <c r="K39" t="s">
        <v>31</v>
      </c>
    </row>
    <row r="40" spans="1:11">
      <c r="A40">
        <v>39</v>
      </c>
      <c r="B40" s="1">
        <v>65</v>
      </c>
      <c r="C40" s="2">
        <v>1.727</v>
      </c>
      <c r="D40" s="2">
        <v>6.245</v>
      </c>
      <c r="E40" s="3">
        <v>27.65</v>
      </c>
      <c r="F40" s="3">
        <v>22.39</v>
      </c>
      <c r="G40" t="s">
        <v>51</v>
      </c>
      <c r="H40" s="3">
        <v>44.48</v>
      </c>
      <c r="I40" s="3">
        <f t="shared" si="0"/>
        <v>0.140400179856115</v>
      </c>
      <c r="J40" s="3">
        <v>32.4</v>
      </c>
      <c r="K40" t="s">
        <v>31</v>
      </c>
    </row>
    <row r="41" spans="1:11">
      <c r="A41">
        <v>40</v>
      </c>
      <c r="B41" s="1">
        <v>66</v>
      </c>
      <c r="C41" s="2">
        <v>1.153</v>
      </c>
      <c r="D41" s="2">
        <v>8.69</v>
      </c>
      <c r="E41" s="3">
        <v>13.27</v>
      </c>
      <c r="F41" s="3">
        <v>22.44</v>
      </c>
      <c r="G41" t="s">
        <v>52</v>
      </c>
      <c r="H41" s="3">
        <v>71.49</v>
      </c>
      <c r="I41" s="3">
        <f t="shared" si="0"/>
        <v>0.12155546230242</v>
      </c>
      <c r="J41" s="3">
        <v>57.37</v>
      </c>
      <c r="K41" t="s">
        <v>31</v>
      </c>
    </row>
    <row r="42" spans="1:11">
      <c r="A42">
        <v>41</v>
      </c>
      <c r="B42" s="1">
        <v>67</v>
      </c>
      <c r="C42" s="2">
        <v>1.491</v>
      </c>
      <c r="D42" s="2">
        <v>7.993</v>
      </c>
      <c r="E42" s="3">
        <v>18.65</v>
      </c>
      <c r="F42" s="3">
        <v>25.65</v>
      </c>
      <c r="G42" t="s">
        <v>53</v>
      </c>
      <c r="H42" s="3">
        <v>80.14</v>
      </c>
      <c r="I42" s="3">
        <f t="shared" si="0"/>
        <v>0.0997379585724981</v>
      </c>
      <c r="J42" s="3">
        <v>48.64</v>
      </c>
      <c r="K42" t="s">
        <v>31</v>
      </c>
    </row>
    <row r="43" spans="1:11">
      <c r="A43">
        <v>42</v>
      </c>
      <c r="B43" s="1">
        <v>67</v>
      </c>
      <c r="C43" s="2">
        <v>1.215</v>
      </c>
      <c r="D43" s="2">
        <v>9.666</v>
      </c>
      <c r="E43" s="3">
        <v>12.57</v>
      </c>
      <c r="F43" s="3">
        <v>9.46</v>
      </c>
      <c r="G43" t="s">
        <v>54</v>
      </c>
      <c r="H43" s="3">
        <v>126.94</v>
      </c>
      <c r="I43" s="3">
        <f t="shared" si="0"/>
        <v>0.0761462108082559</v>
      </c>
      <c r="J43" s="3">
        <v>24.21</v>
      </c>
      <c r="K43" t="s">
        <v>31</v>
      </c>
    </row>
    <row r="44" spans="1:11">
      <c r="A44">
        <v>43</v>
      </c>
      <c r="B44" s="1">
        <v>67</v>
      </c>
      <c r="C44" s="2">
        <v>1.11</v>
      </c>
      <c r="D44" s="2">
        <v>5.59</v>
      </c>
      <c r="E44" s="3">
        <v>19.86</v>
      </c>
      <c r="F44" s="3">
        <v>20.4</v>
      </c>
      <c r="G44" t="s">
        <v>55</v>
      </c>
      <c r="H44" s="3">
        <v>76.55</v>
      </c>
      <c r="I44" s="3">
        <f t="shared" si="0"/>
        <v>0.0730241672109732</v>
      </c>
      <c r="J44" s="3">
        <v>43.44</v>
      </c>
      <c r="K44" t="s">
        <v>31</v>
      </c>
    </row>
    <row r="45" spans="1:11">
      <c r="A45">
        <v>44</v>
      </c>
      <c r="B45" s="1">
        <v>67</v>
      </c>
      <c r="C45" s="2">
        <v>1.021</v>
      </c>
      <c r="D45" s="2">
        <v>8.633</v>
      </c>
      <c r="E45" s="3">
        <v>11.83</v>
      </c>
      <c r="F45" s="3">
        <v>5.89</v>
      </c>
      <c r="G45" t="s">
        <v>56</v>
      </c>
      <c r="H45" s="3">
        <v>36.99</v>
      </c>
      <c r="I45" s="3">
        <f t="shared" si="0"/>
        <v>0.233387402000541</v>
      </c>
      <c r="J45" s="3">
        <v>16.96</v>
      </c>
      <c r="K45" t="s">
        <v>31</v>
      </c>
    </row>
    <row r="46" spans="1:11">
      <c r="A46">
        <v>45</v>
      </c>
      <c r="B46" s="1">
        <v>67</v>
      </c>
      <c r="C46" s="2">
        <v>1.898</v>
      </c>
      <c r="D46" s="2">
        <v>7.511</v>
      </c>
      <c r="E46" s="3">
        <v>25.27</v>
      </c>
      <c r="F46" s="3">
        <v>16.21</v>
      </c>
      <c r="G46" t="s">
        <v>57</v>
      </c>
      <c r="H46" s="3">
        <v>70.76</v>
      </c>
      <c r="I46" s="3">
        <f t="shared" si="0"/>
        <v>0.106147540983607</v>
      </c>
      <c r="J46" s="3">
        <v>23.4</v>
      </c>
      <c r="K46" t="s">
        <v>31</v>
      </c>
    </row>
    <row r="47" spans="1:11">
      <c r="A47">
        <v>46</v>
      </c>
      <c r="B47" s="1">
        <v>68</v>
      </c>
      <c r="C47" s="2">
        <v>1.096</v>
      </c>
      <c r="D47" s="2">
        <v>7.036</v>
      </c>
      <c r="E47" s="3">
        <v>15.58</v>
      </c>
      <c r="F47" s="3">
        <v>14.72</v>
      </c>
      <c r="G47" t="s">
        <v>58</v>
      </c>
      <c r="H47" s="3">
        <v>39.12</v>
      </c>
      <c r="I47" s="3">
        <f t="shared" si="0"/>
        <v>0.179856850715746</v>
      </c>
      <c r="J47" s="3">
        <v>35.63</v>
      </c>
      <c r="K47" t="s">
        <v>31</v>
      </c>
    </row>
    <row r="48" spans="1:11">
      <c r="A48">
        <v>47</v>
      </c>
      <c r="B48" s="1">
        <v>68</v>
      </c>
      <c r="C48" s="2">
        <v>0.902</v>
      </c>
      <c r="D48" s="2">
        <v>4.204</v>
      </c>
      <c r="E48" s="3">
        <v>21.46</v>
      </c>
      <c r="F48" s="3">
        <v>18.18</v>
      </c>
      <c r="G48" t="s">
        <v>59</v>
      </c>
      <c r="H48" s="3">
        <v>49.72</v>
      </c>
      <c r="I48" s="3">
        <f t="shared" si="0"/>
        <v>0.0845534995977474</v>
      </c>
      <c r="J48" s="3">
        <v>41.33</v>
      </c>
      <c r="K48" t="s">
        <v>31</v>
      </c>
    </row>
    <row r="49" spans="1:11">
      <c r="A49">
        <v>48</v>
      </c>
      <c r="B49" s="1">
        <v>68</v>
      </c>
      <c r="C49" s="2">
        <v>2.488</v>
      </c>
      <c r="D49" s="2">
        <v>8.993</v>
      </c>
      <c r="E49" s="3">
        <v>27.67</v>
      </c>
      <c r="F49" s="3">
        <v>30.23</v>
      </c>
      <c r="G49" t="s">
        <v>60</v>
      </c>
      <c r="H49" s="3">
        <v>80.47</v>
      </c>
      <c r="I49" s="3">
        <f t="shared" si="0"/>
        <v>0.111755933888406</v>
      </c>
      <c r="J49" s="3">
        <v>36.44</v>
      </c>
      <c r="K49" t="s">
        <v>31</v>
      </c>
    </row>
    <row r="50" spans="1:11">
      <c r="A50">
        <v>49</v>
      </c>
      <c r="B50" s="1">
        <v>68</v>
      </c>
      <c r="C50" s="2">
        <v>0.989</v>
      </c>
      <c r="D50" s="2">
        <v>6.276</v>
      </c>
      <c r="E50" s="3">
        <v>15.76</v>
      </c>
      <c r="F50" s="3">
        <v>10.11</v>
      </c>
      <c r="G50" t="s">
        <v>61</v>
      </c>
      <c r="H50" s="3">
        <v>47.58</v>
      </c>
      <c r="I50" s="3">
        <f t="shared" si="0"/>
        <v>0.131904161412358</v>
      </c>
      <c r="J50" s="3">
        <v>25.59</v>
      </c>
      <c r="K50" t="s">
        <v>31</v>
      </c>
    </row>
    <row r="51" spans="1:11">
      <c r="A51">
        <v>50</v>
      </c>
      <c r="B51" s="1">
        <v>69</v>
      </c>
      <c r="C51" s="2">
        <v>1.188</v>
      </c>
      <c r="D51" s="2">
        <v>7.327</v>
      </c>
      <c r="E51" s="3">
        <v>16.21</v>
      </c>
      <c r="F51" s="3">
        <v>16.91</v>
      </c>
      <c r="G51" t="s">
        <v>62</v>
      </c>
      <c r="H51" s="3">
        <v>53.74</v>
      </c>
      <c r="I51" s="3">
        <f t="shared" si="0"/>
        <v>0.136341644957201</v>
      </c>
      <c r="J51" s="3">
        <v>38.53</v>
      </c>
      <c r="K51" t="s">
        <v>31</v>
      </c>
    </row>
    <row r="52" spans="1:11">
      <c r="A52">
        <v>51</v>
      </c>
      <c r="B52" s="1">
        <v>69</v>
      </c>
      <c r="C52" s="2">
        <v>0.999</v>
      </c>
      <c r="D52" s="2">
        <v>6.741</v>
      </c>
      <c r="E52" s="3">
        <v>14.82</v>
      </c>
      <c r="F52" s="3">
        <v>13.19</v>
      </c>
      <c r="G52" t="s">
        <v>63</v>
      </c>
      <c r="H52" s="3">
        <v>60.4</v>
      </c>
      <c r="I52" s="3">
        <f t="shared" si="0"/>
        <v>0.111605960264901</v>
      </c>
      <c r="J52" s="3">
        <v>34.28</v>
      </c>
      <c r="K52" t="s">
        <v>31</v>
      </c>
    </row>
    <row r="53" spans="1:11">
      <c r="A53">
        <v>52</v>
      </c>
      <c r="B53" s="1">
        <v>69</v>
      </c>
      <c r="C53" s="2">
        <v>1.005</v>
      </c>
      <c r="D53" s="2">
        <v>4.926</v>
      </c>
      <c r="E53" s="3">
        <v>20.4</v>
      </c>
      <c r="F53" s="3">
        <v>7.7</v>
      </c>
      <c r="G53" t="s">
        <v>64</v>
      </c>
      <c r="H53" s="3">
        <v>46.92</v>
      </c>
      <c r="I53" s="3">
        <f t="shared" si="0"/>
        <v>0.104987212276215</v>
      </c>
      <c r="J53" s="3">
        <v>16.99</v>
      </c>
      <c r="K53" t="s">
        <v>31</v>
      </c>
    </row>
    <row r="54" spans="1:11">
      <c r="A54">
        <v>53</v>
      </c>
      <c r="B54" s="1">
        <v>69</v>
      </c>
      <c r="C54" s="2">
        <v>0.55</v>
      </c>
      <c r="D54" s="2">
        <v>4.92</v>
      </c>
      <c r="E54" s="3">
        <v>11.18</v>
      </c>
      <c r="F54" s="3">
        <v>10.5</v>
      </c>
      <c r="G54" t="s">
        <v>65</v>
      </c>
      <c r="H54" s="3">
        <v>45.84</v>
      </c>
      <c r="I54" s="3">
        <f t="shared" si="0"/>
        <v>0.107329842931937</v>
      </c>
      <c r="J54" s="3">
        <v>42.4</v>
      </c>
      <c r="K54" t="s">
        <v>31</v>
      </c>
    </row>
    <row r="55" spans="1:11">
      <c r="A55">
        <v>54</v>
      </c>
      <c r="B55" s="1">
        <v>69</v>
      </c>
      <c r="C55" s="2">
        <v>2.89</v>
      </c>
      <c r="D55" s="2">
        <v>7.928</v>
      </c>
      <c r="E55" s="3">
        <v>36.45</v>
      </c>
      <c r="F55" s="3">
        <v>36.67</v>
      </c>
      <c r="G55" t="s">
        <v>66</v>
      </c>
      <c r="H55" s="3">
        <v>91.72</v>
      </c>
      <c r="I55" s="3">
        <f t="shared" si="0"/>
        <v>0.0864369821194941</v>
      </c>
      <c r="J55" s="3">
        <v>35.73</v>
      </c>
      <c r="K55" t="s">
        <v>31</v>
      </c>
    </row>
    <row r="56" spans="1:11">
      <c r="A56">
        <v>55</v>
      </c>
      <c r="B56" s="1">
        <v>69</v>
      </c>
      <c r="C56" s="2">
        <v>1.021</v>
      </c>
      <c r="D56" s="2">
        <v>6.677</v>
      </c>
      <c r="E56" s="3">
        <v>15.29</v>
      </c>
      <c r="F56" s="3">
        <v>8.96</v>
      </c>
      <c r="G56" t="s">
        <v>67</v>
      </c>
      <c r="H56" s="3">
        <v>79.9</v>
      </c>
      <c r="I56" s="3">
        <f t="shared" si="0"/>
        <v>0.083566958698373</v>
      </c>
      <c r="J56" s="3">
        <v>22.68</v>
      </c>
      <c r="K56" t="s">
        <v>31</v>
      </c>
    </row>
    <row r="57" spans="1:11">
      <c r="A57">
        <v>56</v>
      </c>
      <c r="B57" s="1">
        <v>69</v>
      </c>
      <c r="C57" s="2">
        <v>2.293</v>
      </c>
      <c r="D57" s="2">
        <v>7.94</v>
      </c>
      <c r="E57" s="3">
        <v>28.88</v>
      </c>
      <c r="F57" s="3">
        <v>19.06</v>
      </c>
      <c r="G57" t="s">
        <v>68</v>
      </c>
      <c r="H57" s="3">
        <v>52.01</v>
      </c>
      <c r="I57" s="3">
        <f t="shared" si="0"/>
        <v>0.152662949432801</v>
      </c>
      <c r="J57" s="3">
        <v>23.42</v>
      </c>
      <c r="K57" t="s">
        <v>31</v>
      </c>
    </row>
    <row r="58" spans="1:11">
      <c r="A58">
        <v>57</v>
      </c>
      <c r="B58" s="1">
        <v>70</v>
      </c>
      <c r="C58" s="2">
        <v>1.407</v>
      </c>
      <c r="D58" s="2">
        <v>9.247</v>
      </c>
      <c r="E58" s="3">
        <v>15.22</v>
      </c>
      <c r="F58" s="3">
        <v>17.69</v>
      </c>
      <c r="G58" t="s">
        <v>69</v>
      </c>
      <c r="H58" s="3">
        <v>118.12</v>
      </c>
      <c r="I58" s="3">
        <f t="shared" si="0"/>
        <v>0.0782847951236031</v>
      </c>
      <c r="J58" s="3">
        <v>38.23</v>
      </c>
      <c r="K58" t="s">
        <v>31</v>
      </c>
    </row>
    <row r="59" spans="1:11">
      <c r="A59">
        <v>58</v>
      </c>
      <c r="B59" s="1">
        <v>70</v>
      </c>
      <c r="C59" s="2">
        <v>1.052</v>
      </c>
      <c r="D59" s="2">
        <v>6.966</v>
      </c>
      <c r="E59" s="3">
        <v>15.1</v>
      </c>
      <c r="F59" s="3">
        <v>10.81</v>
      </c>
      <c r="G59" t="s">
        <v>70</v>
      </c>
      <c r="H59" s="3">
        <v>52.99</v>
      </c>
      <c r="I59" s="3">
        <f t="shared" si="0"/>
        <v>0.131458765804869</v>
      </c>
      <c r="J59" s="3">
        <v>27.12</v>
      </c>
      <c r="K59" t="s">
        <v>31</v>
      </c>
    </row>
    <row r="60" spans="1:11">
      <c r="A60">
        <v>59</v>
      </c>
      <c r="B60" s="1">
        <v>70</v>
      </c>
      <c r="C60" s="2">
        <v>0.858</v>
      </c>
      <c r="D60" s="2">
        <v>5.19</v>
      </c>
      <c r="E60" s="3">
        <v>16.53</v>
      </c>
      <c r="F60" s="3">
        <v>15.11</v>
      </c>
      <c r="G60" t="s">
        <v>71</v>
      </c>
      <c r="H60" s="3">
        <v>75.48</v>
      </c>
      <c r="I60" s="3">
        <f t="shared" si="0"/>
        <v>0.0687599364069952</v>
      </c>
      <c r="J60" s="3">
        <v>40.11</v>
      </c>
      <c r="K60" t="s">
        <v>31</v>
      </c>
    </row>
    <row r="61" spans="1:11">
      <c r="A61">
        <v>60</v>
      </c>
      <c r="B61" s="1">
        <v>70</v>
      </c>
      <c r="C61" s="2">
        <v>1.4</v>
      </c>
      <c r="D61" s="2">
        <v>5.273</v>
      </c>
      <c r="E61" s="3">
        <v>26.55</v>
      </c>
      <c r="F61" s="3">
        <v>12.73</v>
      </c>
      <c r="G61" t="s">
        <v>72</v>
      </c>
      <c r="H61" s="3">
        <v>72.9</v>
      </c>
      <c r="I61" s="3">
        <f t="shared" si="0"/>
        <v>0.0723319615912208</v>
      </c>
      <c r="J61" s="3">
        <v>20.89</v>
      </c>
      <c r="K61" t="s">
        <v>31</v>
      </c>
    </row>
    <row r="62" spans="1:11">
      <c r="A62">
        <v>61</v>
      </c>
      <c r="B62" s="1">
        <v>70</v>
      </c>
      <c r="C62" s="2">
        <v>1.873</v>
      </c>
      <c r="D62" s="2">
        <v>5.565</v>
      </c>
      <c r="E62" s="3">
        <v>33.66</v>
      </c>
      <c r="F62" s="3">
        <v>35</v>
      </c>
      <c r="G62" t="s">
        <v>73</v>
      </c>
      <c r="H62" s="3">
        <v>97.93</v>
      </c>
      <c r="I62" s="3">
        <f t="shared" si="0"/>
        <v>0.0568263045032166</v>
      </c>
      <c r="J62" s="3">
        <v>44.09</v>
      </c>
      <c r="K62" t="s">
        <v>31</v>
      </c>
    </row>
    <row r="63" spans="1:11">
      <c r="A63">
        <v>62</v>
      </c>
      <c r="B63" s="1">
        <v>70</v>
      </c>
      <c r="C63" s="2">
        <v>2.222</v>
      </c>
      <c r="D63" s="2">
        <v>8.033</v>
      </c>
      <c r="E63" s="3">
        <v>27.66</v>
      </c>
      <c r="F63" s="3">
        <v>20.01</v>
      </c>
      <c r="G63" t="s">
        <v>74</v>
      </c>
      <c r="H63" s="3">
        <v>90.95</v>
      </c>
      <c r="I63" s="3">
        <f t="shared" si="0"/>
        <v>0.088323254535459</v>
      </c>
      <c r="J63" s="3">
        <v>25.53</v>
      </c>
      <c r="K63" t="s">
        <v>31</v>
      </c>
    </row>
    <row r="64" spans="1:11">
      <c r="A64">
        <v>63</v>
      </c>
      <c r="B64" s="1">
        <v>71</v>
      </c>
      <c r="C64" s="2">
        <v>1.12</v>
      </c>
      <c r="D64" s="2">
        <v>4.757</v>
      </c>
      <c r="E64" s="3">
        <v>23.54</v>
      </c>
      <c r="F64" s="3">
        <v>14.95</v>
      </c>
      <c r="G64" t="s">
        <v>75</v>
      </c>
      <c r="H64" s="3">
        <v>53.77</v>
      </c>
      <c r="I64" s="3">
        <f t="shared" si="0"/>
        <v>0.0884694067323786</v>
      </c>
      <c r="J64" s="3">
        <v>29.11</v>
      </c>
      <c r="K64" t="s">
        <v>31</v>
      </c>
    </row>
    <row r="65" spans="1:11">
      <c r="A65">
        <v>64</v>
      </c>
      <c r="B65" s="1">
        <v>71</v>
      </c>
      <c r="C65" s="2">
        <v>2.449</v>
      </c>
      <c r="D65" s="2">
        <v>7.481</v>
      </c>
      <c r="E65" s="3">
        <v>33.01</v>
      </c>
      <c r="F65" s="3">
        <v>31.75</v>
      </c>
      <c r="G65" t="s">
        <v>76</v>
      </c>
      <c r="H65" s="3">
        <v>66.36</v>
      </c>
      <c r="I65" s="3">
        <f t="shared" si="0"/>
        <v>0.112733574442435</v>
      </c>
      <c r="J65" s="3">
        <v>35.46</v>
      </c>
      <c r="K65" t="s">
        <v>31</v>
      </c>
    </row>
    <row r="66" spans="1:11">
      <c r="A66">
        <v>65</v>
      </c>
      <c r="B66" s="1">
        <v>71</v>
      </c>
      <c r="C66" s="2">
        <v>0.774</v>
      </c>
      <c r="D66" s="2">
        <v>4.433</v>
      </c>
      <c r="E66" s="3">
        <v>17.46</v>
      </c>
      <c r="F66" s="3">
        <v>5.53</v>
      </c>
      <c r="G66" t="s">
        <v>77</v>
      </c>
      <c r="H66" s="3">
        <v>74.28</v>
      </c>
      <c r="I66" s="3">
        <f t="shared" ref="I66:I101" si="1">D66/H66</f>
        <v>0.0596795907377491</v>
      </c>
      <c r="J66" s="3">
        <v>15.03</v>
      </c>
      <c r="K66" t="s">
        <v>31</v>
      </c>
    </row>
    <row r="67" spans="1:11">
      <c r="A67">
        <v>66</v>
      </c>
      <c r="B67" s="1">
        <v>72</v>
      </c>
      <c r="C67" s="2">
        <v>0.821</v>
      </c>
      <c r="D67" s="2">
        <v>5.277</v>
      </c>
      <c r="E67" s="3">
        <v>15.56</v>
      </c>
      <c r="F67" s="3">
        <v>19.29</v>
      </c>
      <c r="G67" t="s">
        <v>78</v>
      </c>
      <c r="H67" s="3">
        <v>41.74</v>
      </c>
      <c r="I67" s="3">
        <f t="shared" si="1"/>
        <v>0.126425491135601</v>
      </c>
      <c r="J67" s="3">
        <v>53.97</v>
      </c>
      <c r="K67" t="s">
        <v>31</v>
      </c>
    </row>
    <row r="68" spans="1:11">
      <c r="A68">
        <v>67</v>
      </c>
      <c r="B68" s="1">
        <v>72</v>
      </c>
      <c r="C68" s="2">
        <v>0.92</v>
      </c>
      <c r="D68" s="2">
        <v>5.171</v>
      </c>
      <c r="E68" s="3">
        <v>17.79</v>
      </c>
      <c r="F68" s="3">
        <v>27.83</v>
      </c>
      <c r="G68" t="s">
        <v>79</v>
      </c>
      <c r="H68" s="3">
        <v>60.84</v>
      </c>
      <c r="I68" s="3">
        <f t="shared" si="1"/>
        <v>0.0849934253780408</v>
      </c>
      <c r="J68" s="3">
        <v>68.79</v>
      </c>
      <c r="K68" t="s">
        <v>31</v>
      </c>
    </row>
    <row r="69" spans="1:11">
      <c r="A69">
        <v>68</v>
      </c>
      <c r="B69" s="1">
        <v>72</v>
      </c>
      <c r="C69" s="2">
        <v>1.144</v>
      </c>
      <c r="D69" s="2">
        <v>5.587</v>
      </c>
      <c r="E69" s="3">
        <v>20.48</v>
      </c>
      <c r="F69" s="3">
        <v>11.76</v>
      </c>
      <c r="G69" t="s">
        <v>80</v>
      </c>
      <c r="H69" s="3">
        <v>125.17</v>
      </c>
      <c r="I69" s="3">
        <f t="shared" si="1"/>
        <v>0.0446352959974435</v>
      </c>
      <c r="J69" s="3">
        <v>24.3</v>
      </c>
      <c r="K69" t="s">
        <v>31</v>
      </c>
    </row>
    <row r="70" spans="1:11">
      <c r="A70">
        <v>69</v>
      </c>
      <c r="B70" s="1">
        <v>73</v>
      </c>
      <c r="C70" s="2">
        <v>2.616</v>
      </c>
      <c r="D70" s="2">
        <v>9.138</v>
      </c>
      <c r="E70" s="3">
        <v>28.63</v>
      </c>
      <c r="F70" s="3">
        <v>10.46</v>
      </c>
      <c r="G70" t="s">
        <v>81</v>
      </c>
      <c r="H70" s="3">
        <v>40.02</v>
      </c>
      <c r="I70" s="3">
        <f t="shared" si="1"/>
        <v>0.228335832083958</v>
      </c>
      <c r="J70" s="3">
        <v>12.09</v>
      </c>
      <c r="K70" t="s">
        <v>31</v>
      </c>
    </row>
    <row r="71" spans="1:11">
      <c r="A71">
        <v>70</v>
      </c>
      <c r="B71" s="1">
        <v>73</v>
      </c>
      <c r="C71" s="2">
        <v>1.259</v>
      </c>
      <c r="D71" s="2">
        <v>5.899</v>
      </c>
      <c r="E71" s="3">
        <v>21.34</v>
      </c>
      <c r="F71" s="3">
        <v>18.77</v>
      </c>
      <c r="G71" t="s">
        <v>82</v>
      </c>
      <c r="H71" s="3">
        <v>51.81</v>
      </c>
      <c r="I71" s="3">
        <f t="shared" si="1"/>
        <v>0.11385832850801</v>
      </c>
      <c r="J71" s="3">
        <v>36.21</v>
      </c>
      <c r="K71" t="s">
        <v>31</v>
      </c>
    </row>
    <row r="72" spans="1:11">
      <c r="A72">
        <v>71</v>
      </c>
      <c r="B72" s="1">
        <v>73</v>
      </c>
      <c r="C72" s="2">
        <v>0.682</v>
      </c>
      <c r="D72" s="2">
        <v>7.466</v>
      </c>
      <c r="E72" s="3">
        <v>9.13</v>
      </c>
      <c r="F72" s="3">
        <v>7.22</v>
      </c>
      <c r="G72" t="s">
        <v>83</v>
      </c>
      <c r="H72" s="3">
        <v>47.42</v>
      </c>
      <c r="I72" s="3">
        <f t="shared" si="1"/>
        <v>0.157444116406579</v>
      </c>
      <c r="J72" s="3">
        <v>28.93</v>
      </c>
      <c r="K72" t="s">
        <v>31</v>
      </c>
    </row>
    <row r="73" spans="1:11">
      <c r="A73">
        <v>72</v>
      </c>
      <c r="B73" s="1">
        <v>73</v>
      </c>
      <c r="C73" s="2">
        <v>0.929</v>
      </c>
      <c r="D73" s="2">
        <v>5.142</v>
      </c>
      <c r="E73" s="3">
        <v>18.07</v>
      </c>
      <c r="F73" s="3">
        <v>7.02</v>
      </c>
      <c r="G73" t="s">
        <v>84</v>
      </c>
      <c r="H73" s="3">
        <v>55.35</v>
      </c>
      <c r="I73" s="3">
        <f t="shared" si="1"/>
        <v>0.09289972899729</v>
      </c>
      <c r="J73" s="3">
        <v>17.14</v>
      </c>
      <c r="K73" t="s">
        <v>31</v>
      </c>
    </row>
    <row r="74" spans="1:11">
      <c r="A74">
        <v>73</v>
      </c>
      <c r="B74" s="1">
        <v>73</v>
      </c>
      <c r="C74" s="2">
        <v>1.042</v>
      </c>
      <c r="D74" s="2">
        <v>6.933</v>
      </c>
      <c r="E74" s="3">
        <v>15.03</v>
      </c>
      <c r="F74" s="3">
        <v>7.59</v>
      </c>
      <c r="G74" t="s">
        <v>85</v>
      </c>
      <c r="H74" s="3">
        <v>53.6</v>
      </c>
      <c r="I74" s="3">
        <f t="shared" si="1"/>
        <v>0.129347014925373</v>
      </c>
      <c r="J74" s="3">
        <v>19.16</v>
      </c>
      <c r="K74" t="s">
        <v>31</v>
      </c>
    </row>
    <row r="75" spans="1:11">
      <c r="A75">
        <v>74</v>
      </c>
      <c r="B75" s="1">
        <v>74</v>
      </c>
      <c r="C75" s="2">
        <v>0.844</v>
      </c>
      <c r="D75" s="2">
        <v>4.354</v>
      </c>
      <c r="E75" s="3">
        <v>19.38</v>
      </c>
      <c r="F75" s="3">
        <v>13.5</v>
      </c>
      <c r="G75" t="s">
        <v>86</v>
      </c>
      <c r="H75" s="3">
        <v>104.23</v>
      </c>
      <c r="I75" s="3">
        <f t="shared" si="1"/>
        <v>0.041773002014775</v>
      </c>
      <c r="J75" s="3">
        <v>33.38</v>
      </c>
      <c r="K75" t="s">
        <v>31</v>
      </c>
    </row>
    <row r="76" spans="1:11">
      <c r="A76">
        <v>75</v>
      </c>
      <c r="B76" s="1">
        <v>74</v>
      </c>
      <c r="C76" s="2">
        <v>1.83</v>
      </c>
      <c r="D76" s="2">
        <v>9.017</v>
      </c>
      <c r="E76" s="3">
        <v>20.29</v>
      </c>
      <c r="F76" s="3">
        <v>23.54</v>
      </c>
      <c r="G76" t="s">
        <v>87</v>
      </c>
      <c r="H76" s="3">
        <v>47.17</v>
      </c>
      <c r="I76" s="3">
        <f t="shared" si="1"/>
        <v>0.191159635361459</v>
      </c>
      <c r="J76" s="3">
        <v>38.63</v>
      </c>
      <c r="K76" t="s">
        <v>31</v>
      </c>
    </row>
    <row r="77" spans="1:11">
      <c r="A77">
        <v>76</v>
      </c>
      <c r="B77" s="1">
        <v>74</v>
      </c>
      <c r="C77" s="2">
        <v>2.419</v>
      </c>
      <c r="D77" s="2">
        <v>9.09</v>
      </c>
      <c r="E77" s="3">
        <v>26.61</v>
      </c>
      <c r="F77" s="3">
        <v>28</v>
      </c>
      <c r="G77" t="s">
        <v>88</v>
      </c>
      <c r="H77" s="3">
        <v>59.59</v>
      </c>
      <c r="I77" s="3">
        <f t="shared" si="1"/>
        <v>0.152542372881356</v>
      </c>
      <c r="J77" s="3">
        <v>34.9</v>
      </c>
      <c r="K77" t="s">
        <v>31</v>
      </c>
    </row>
    <row r="78" spans="1:11">
      <c r="A78">
        <v>77</v>
      </c>
      <c r="B78" s="1">
        <v>74</v>
      </c>
      <c r="C78" s="2">
        <v>1.148</v>
      </c>
      <c r="D78" s="2">
        <v>5.812</v>
      </c>
      <c r="E78" s="3">
        <v>19.75</v>
      </c>
      <c r="F78" s="3">
        <v>15.51</v>
      </c>
      <c r="G78" t="s">
        <v>89</v>
      </c>
      <c r="H78" s="3">
        <v>60.95</v>
      </c>
      <c r="I78" s="3">
        <f t="shared" si="1"/>
        <v>0.0953568498769483</v>
      </c>
      <c r="J78" s="3">
        <v>32.57</v>
      </c>
      <c r="K78" t="s">
        <v>31</v>
      </c>
    </row>
    <row r="79" spans="1:11">
      <c r="A79">
        <v>78</v>
      </c>
      <c r="B79" s="1">
        <v>74</v>
      </c>
      <c r="C79" s="2">
        <v>2.184</v>
      </c>
      <c r="D79" s="2">
        <v>6.9</v>
      </c>
      <c r="E79" s="3">
        <v>31.65</v>
      </c>
      <c r="F79" s="3">
        <v>34.7</v>
      </c>
      <c r="G79" t="s">
        <v>90</v>
      </c>
      <c r="H79" s="3">
        <v>91.06</v>
      </c>
      <c r="I79" s="3">
        <f t="shared" si="1"/>
        <v>0.0757742148034263</v>
      </c>
      <c r="J79" s="3">
        <v>41.74</v>
      </c>
      <c r="K79" t="s">
        <v>31</v>
      </c>
    </row>
    <row r="80" spans="1:11">
      <c r="A80">
        <v>79</v>
      </c>
      <c r="B80" s="1">
        <v>74</v>
      </c>
      <c r="C80" s="2">
        <v>3.047</v>
      </c>
      <c r="D80" s="2">
        <v>9.678</v>
      </c>
      <c r="E80" s="3">
        <v>31.48</v>
      </c>
      <c r="F80" s="3">
        <v>35.29</v>
      </c>
      <c r="G80" t="s">
        <v>91</v>
      </c>
      <c r="H80" s="3">
        <v>117.35</v>
      </c>
      <c r="I80" s="3">
        <f t="shared" si="1"/>
        <v>0.0824712398806988</v>
      </c>
      <c r="J80" s="3">
        <v>36.02</v>
      </c>
      <c r="K80" t="s">
        <v>31</v>
      </c>
    </row>
    <row r="81" spans="1:11">
      <c r="A81">
        <v>80</v>
      </c>
      <c r="B81" s="1">
        <v>74</v>
      </c>
      <c r="C81" s="2">
        <v>1.787</v>
      </c>
      <c r="D81" s="2">
        <v>9.111</v>
      </c>
      <c r="E81" s="3">
        <v>19.61</v>
      </c>
      <c r="F81" s="3">
        <v>33.79</v>
      </c>
      <c r="G81" t="s">
        <v>92</v>
      </c>
      <c r="H81" s="3">
        <v>88.1</v>
      </c>
      <c r="I81" s="3">
        <f t="shared" si="1"/>
        <v>0.103416572077185</v>
      </c>
      <c r="J81" s="3">
        <v>57.08</v>
      </c>
      <c r="K81" t="s">
        <v>31</v>
      </c>
    </row>
    <row r="82" spans="1:11">
      <c r="A82">
        <v>81</v>
      </c>
      <c r="B82" s="1">
        <v>75</v>
      </c>
      <c r="C82" s="2">
        <v>0.715</v>
      </c>
      <c r="D82" s="2">
        <v>5.054</v>
      </c>
      <c r="E82" s="3">
        <v>14.15</v>
      </c>
      <c r="F82" s="3">
        <v>12.61</v>
      </c>
      <c r="G82" t="s">
        <v>93</v>
      </c>
      <c r="H82" s="3">
        <v>40.44</v>
      </c>
      <c r="I82" s="3">
        <f t="shared" si="1"/>
        <v>0.124975272007913</v>
      </c>
      <c r="J82" s="3">
        <v>39.65</v>
      </c>
      <c r="K82" t="s">
        <v>31</v>
      </c>
    </row>
    <row r="83" spans="1:11">
      <c r="A83">
        <v>82</v>
      </c>
      <c r="B83" s="1">
        <v>75</v>
      </c>
      <c r="C83" s="2">
        <v>1.329</v>
      </c>
      <c r="D83" s="2">
        <v>5.971</v>
      </c>
      <c r="E83" s="3">
        <v>22.26</v>
      </c>
      <c r="F83" s="3">
        <v>18.87</v>
      </c>
      <c r="G83" t="s">
        <v>94</v>
      </c>
      <c r="H83" s="3">
        <v>52.24</v>
      </c>
      <c r="I83" s="3">
        <f t="shared" si="1"/>
        <v>0.114299387442573</v>
      </c>
      <c r="J83" s="3">
        <v>34.7</v>
      </c>
      <c r="K83" t="s">
        <v>31</v>
      </c>
    </row>
    <row r="84" spans="1:11">
      <c r="A84">
        <v>83</v>
      </c>
      <c r="B84" s="1">
        <v>75</v>
      </c>
      <c r="C84" s="2">
        <v>1.479</v>
      </c>
      <c r="D84" s="2">
        <v>5.428</v>
      </c>
      <c r="E84" s="3">
        <v>27.25</v>
      </c>
      <c r="F84" s="3">
        <v>20.84</v>
      </c>
      <c r="G84" t="s">
        <v>95</v>
      </c>
      <c r="H84" s="3">
        <v>51.72</v>
      </c>
      <c r="I84" s="3">
        <f t="shared" si="1"/>
        <v>0.104949729311678</v>
      </c>
      <c r="J84" s="3">
        <v>32.83</v>
      </c>
      <c r="K84" t="s">
        <v>31</v>
      </c>
    </row>
    <row r="85" spans="1:11">
      <c r="A85">
        <v>84</v>
      </c>
      <c r="B85" s="1">
        <v>76</v>
      </c>
      <c r="C85" s="2">
        <v>0.808</v>
      </c>
      <c r="D85" s="2">
        <v>4.797</v>
      </c>
      <c r="E85" s="3">
        <v>16.84</v>
      </c>
      <c r="F85" s="3">
        <v>14.44</v>
      </c>
      <c r="G85" t="s">
        <v>96</v>
      </c>
      <c r="H85" s="3">
        <v>124.12</v>
      </c>
      <c r="I85" s="3">
        <f t="shared" si="1"/>
        <v>0.0386480825008057</v>
      </c>
      <c r="J85" s="3">
        <v>39.14</v>
      </c>
      <c r="K85" t="s">
        <v>31</v>
      </c>
    </row>
    <row r="86" spans="1:11">
      <c r="A86">
        <v>85</v>
      </c>
      <c r="B86" s="1">
        <v>76</v>
      </c>
      <c r="C86" s="2">
        <v>2.78</v>
      </c>
      <c r="D86" s="2">
        <v>9.076</v>
      </c>
      <c r="E86" s="3">
        <v>30.63</v>
      </c>
      <c r="F86" s="3">
        <v>33.81</v>
      </c>
      <c r="G86" t="s">
        <v>97</v>
      </c>
      <c r="H86" s="3">
        <v>80.26</v>
      </c>
      <c r="I86" s="3">
        <f t="shared" si="1"/>
        <v>0.113082481933715</v>
      </c>
      <c r="J86" s="3">
        <v>36.64</v>
      </c>
      <c r="K86" t="s">
        <v>31</v>
      </c>
    </row>
    <row r="87" spans="1:11">
      <c r="A87">
        <v>86</v>
      </c>
      <c r="B87" s="1">
        <v>76</v>
      </c>
      <c r="C87" s="2">
        <v>0.882</v>
      </c>
      <c r="D87" s="2">
        <v>5.87</v>
      </c>
      <c r="E87" s="3">
        <v>15.03</v>
      </c>
      <c r="F87" s="3">
        <v>10.71</v>
      </c>
      <c r="G87" t="s">
        <v>98</v>
      </c>
      <c r="H87" s="3">
        <v>70.69</v>
      </c>
      <c r="I87" s="3">
        <f t="shared" si="1"/>
        <v>0.0830386193238082</v>
      </c>
      <c r="J87" s="3">
        <v>29.42</v>
      </c>
      <c r="K87" t="s">
        <v>31</v>
      </c>
    </row>
    <row r="88" spans="1:11">
      <c r="A88">
        <v>87</v>
      </c>
      <c r="B88" s="1">
        <v>76</v>
      </c>
      <c r="C88" s="2">
        <v>0.908</v>
      </c>
      <c r="D88" s="2">
        <v>9.343</v>
      </c>
      <c r="E88" s="3">
        <v>9.72</v>
      </c>
      <c r="F88" s="3">
        <v>14.89</v>
      </c>
      <c r="G88" t="s">
        <v>99</v>
      </c>
      <c r="H88" s="3">
        <v>44.23</v>
      </c>
      <c r="I88" s="3">
        <f t="shared" si="1"/>
        <v>0.211236717160298</v>
      </c>
      <c r="J88" s="3">
        <v>50.12</v>
      </c>
      <c r="K88" t="s">
        <v>31</v>
      </c>
    </row>
    <row r="89" spans="1:11">
      <c r="A89">
        <v>88</v>
      </c>
      <c r="B89" s="1">
        <v>76</v>
      </c>
      <c r="C89" s="2">
        <v>1.728</v>
      </c>
      <c r="D89" s="2">
        <v>6.944</v>
      </c>
      <c r="E89" s="3">
        <v>24.88</v>
      </c>
      <c r="F89" s="3">
        <v>10.84</v>
      </c>
      <c r="G89" t="s">
        <v>100</v>
      </c>
      <c r="H89" s="3">
        <v>55.49</v>
      </c>
      <c r="I89" s="3">
        <f t="shared" si="1"/>
        <v>0.125139664804469</v>
      </c>
      <c r="J89" s="3">
        <v>16.53</v>
      </c>
      <c r="K89" t="s">
        <v>31</v>
      </c>
    </row>
    <row r="90" spans="1:11">
      <c r="A90">
        <v>89</v>
      </c>
      <c r="B90" s="1">
        <v>76</v>
      </c>
      <c r="C90" s="2">
        <v>0.898</v>
      </c>
      <c r="D90" s="2">
        <v>4.91</v>
      </c>
      <c r="E90" s="3">
        <v>18.29</v>
      </c>
      <c r="F90" s="3">
        <v>14.17</v>
      </c>
      <c r="G90" t="s">
        <v>101</v>
      </c>
      <c r="H90" s="3">
        <v>66.83</v>
      </c>
      <c r="I90" s="3">
        <f t="shared" si="1"/>
        <v>0.073469998503666</v>
      </c>
      <c r="J90" s="3">
        <v>34.97</v>
      </c>
      <c r="K90" t="s">
        <v>31</v>
      </c>
    </row>
    <row r="91" spans="1:11">
      <c r="A91">
        <v>90</v>
      </c>
      <c r="B91" s="1">
        <v>77</v>
      </c>
      <c r="C91" s="2">
        <v>0.967</v>
      </c>
      <c r="D91" s="2">
        <v>5.795</v>
      </c>
      <c r="E91" s="3">
        <v>16.69</v>
      </c>
      <c r="F91" s="3">
        <v>10.67</v>
      </c>
      <c r="G91" t="s">
        <v>102</v>
      </c>
      <c r="H91" s="3">
        <v>34.07</v>
      </c>
      <c r="I91" s="3">
        <f t="shared" si="1"/>
        <v>0.170090989140006</v>
      </c>
      <c r="J91" s="3">
        <v>26.55</v>
      </c>
      <c r="K91" t="s">
        <v>31</v>
      </c>
    </row>
    <row r="92" spans="1:11">
      <c r="A92">
        <v>91</v>
      </c>
      <c r="B92" s="1">
        <v>78</v>
      </c>
      <c r="C92" s="2">
        <v>1.079</v>
      </c>
      <c r="D92" s="2">
        <v>4.5</v>
      </c>
      <c r="E92" s="3">
        <v>23.98</v>
      </c>
      <c r="F92" s="3">
        <v>14.19</v>
      </c>
      <c r="G92" t="s">
        <v>103</v>
      </c>
      <c r="H92" s="3">
        <v>52.53</v>
      </c>
      <c r="I92" s="3">
        <f t="shared" si="1"/>
        <v>0.085665334094803</v>
      </c>
      <c r="J92" s="3">
        <v>27.9</v>
      </c>
      <c r="K92" t="s">
        <v>31</v>
      </c>
    </row>
    <row r="93" spans="1:11">
      <c r="A93">
        <v>92</v>
      </c>
      <c r="B93" s="1">
        <v>78</v>
      </c>
      <c r="C93" s="2">
        <v>1.129</v>
      </c>
      <c r="D93" s="2">
        <v>7.222</v>
      </c>
      <c r="E93" s="3">
        <v>15.63</v>
      </c>
      <c r="F93" s="3">
        <v>19.8</v>
      </c>
      <c r="G93" t="s">
        <v>104</v>
      </c>
      <c r="H93" s="3">
        <v>36.4</v>
      </c>
      <c r="I93" s="3">
        <f t="shared" si="1"/>
        <v>0.198406593406593</v>
      </c>
      <c r="J93" s="3">
        <v>47.11</v>
      </c>
      <c r="K93" t="s">
        <v>31</v>
      </c>
    </row>
    <row r="94" spans="1:11">
      <c r="A94">
        <v>93</v>
      </c>
      <c r="B94" s="1">
        <v>79</v>
      </c>
      <c r="C94" s="2">
        <v>1.307</v>
      </c>
      <c r="D94" s="2">
        <v>6.777</v>
      </c>
      <c r="E94" s="3">
        <v>19.29</v>
      </c>
      <c r="F94" s="3">
        <v>30.2</v>
      </c>
      <c r="G94" t="s">
        <v>105</v>
      </c>
      <c r="H94" s="3">
        <v>98.97</v>
      </c>
      <c r="I94" s="3">
        <f t="shared" si="1"/>
        <v>0.0684752955441043</v>
      </c>
      <c r="J94" s="3">
        <v>60.15</v>
      </c>
      <c r="K94" t="s">
        <v>31</v>
      </c>
    </row>
    <row r="95" spans="1:11">
      <c r="A95">
        <v>94</v>
      </c>
      <c r="B95" s="1">
        <v>79</v>
      </c>
      <c r="C95" s="2">
        <v>1.158</v>
      </c>
      <c r="D95" s="2">
        <v>5.843</v>
      </c>
      <c r="E95" s="3">
        <v>19.82</v>
      </c>
      <c r="F95" s="3">
        <v>15.63</v>
      </c>
      <c r="G95" t="s">
        <v>106</v>
      </c>
      <c r="H95" s="3">
        <v>46.7</v>
      </c>
      <c r="I95" s="3">
        <f t="shared" si="1"/>
        <v>0.125117773019272</v>
      </c>
      <c r="J95" s="3">
        <v>32.64</v>
      </c>
      <c r="K95" t="s">
        <v>31</v>
      </c>
    </row>
    <row r="96" spans="1:11">
      <c r="A96">
        <v>95</v>
      </c>
      <c r="B96" s="1">
        <v>80</v>
      </c>
      <c r="C96" s="2">
        <v>1.341</v>
      </c>
      <c r="D96" s="2">
        <v>8.638</v>
      </c>
      <c r="E96" s="3">
        <v>15.52</v>
      </c>
      <c r="F96" s="3">
        <v>14.35</v>
      </c>
      <c r="G96" t="s">
        <v>107</v>
      </c>
      <c r="H96" s="3">
        <v>49.89</v>
      </c>
      <c r="I96" s="3">
        <f t="shared" si="1"/>
        <v>0.173140910002004</v>
      </c>
      <c r="J96" s="3">
        <v>31.45</v>
      </c>
      <c r="K96" t="s">
        <v>31</v>
      </c>
    </row>
    <row r="97" spans="1:11">
      <c r="A97">
        <v>96</v>
      </c>
      <c r="B97" s="1">
        <v>81</v>
      </c>
      <c r="C97" s="2">
        <v>2.096</v>
      </c>
      <c r="D97" s="2">
        <v>4.8</v>
      </c>
      <c r="E97" s="3">
        <v>43.67</v>
      </c>
      <c r="F97" s="3">
        <v>14.51</v>
      </c>
      <c r="G97" t="s">
        <v>108</v>
      </c>
      <c r="H97" s="3">
        <v>39.93</v>
      </c>
      <c r="I97" s="3">
        <f t="shared" si="1"/>
        <v>0.120210368144252</v>
      </c>
      <c r="J97" s="3">
        <v>15.17</v>
      </c>
      <c r="K97" t="s">
        <v>31</v>
      </c>
    </row>
    <row r="98" spans="1:11">
      <c r="A98">
        <v>97</v>
      </c>
      <c r="B98" s="1">
        <v>85</v>
      </c>
      <c r="C98" s="2">
        <v>2.171</v>
      </c>
      <c r="D98" s="2">
        <v>6.267</v>
      </c>
      <c r="E98" s="3">
        <v>34.64</v>
      </c>
      <c r="F98" s="3">
        <v>10.24</v>
      </c>
      <c r="G98" t="s">
        <v>109</v>
      </c>
      <c r="H98" s="3">
        <v>144.73</v>
      </c>
      <c r="I98" s="3">
        <f t="shared" si="1"/>
        <v>0.0433013196987494</v>
      </c>
      <c r="J98" s="3">
        <v>11.81</v>
      </c>
      <c r="K98" t="s">
        <v>31</v>
      </c>
    </row>
    <row r="99" spans="1:11">
      <c r="A99">
        <v>98</v>
      </c>
      <c r="B99" s="1">
        <v>86</v>
      </c>
      <c r="C99" s="2">
        <v>1.888</v>
      </c>
      <c r="D99" s="2">
        <v>7.79</v>
      </c>
      <c r="E99" s="3">
        <v>24.24</v>
      </c>
      <c r="F99" s="3">
        <v>15.49</v>
      </c>
      <c r="G99" t="s">
        <v>110</v>
      </c>
      <c r="H99" s="3">
        <v>182.4</v>
      </c>
      <c r="I99" s="3">
        <f t="shared" si="1"/>
        <v>0.0427083333333333</v>
      </c>
      <c r="J99" s="3">
        <v>22.9</v>
      </c>
      <c r="K99" t="s">
        <v>31</v>
      </c>
    </row>
    <row r="100" spans="1:11">
      <c r="A100">
        <v>99</v>
      </c>
      <c r="B100" s="1">
        <v>86</v>
      </c>
      <c r="C100" s="2">
        <v>3.088</v>
      </c>
      <c r="D100" s="2">
        <v>8.792</v>
      </c>
      <c r="E100" s="3">
        <v>35.12</v>
      </c>
      <c r="F100" s="3">
        <v>14.51</v>
      </c>
      <c r="G100" t="s">
        <v>111</v>
      </c>
      <c r="H100" s="3">
        <v>113.4</v>
      </c>
      <c r="I100" s="3">
        <f t="shared" si="1"/>
        <v>0.0775308641975309</v>
      </c>
      <c r="J100" s="3">
        <v>13.93</v>
      </c>
      <c r="K100" t="s">
        <v>31</v>
      </c>
    </row>
    <row r="101" spans="1:11">
      <c r="A101">
        <v>100</v>
      </c>
      <c r="B101" s="1">
        <v>89</v>
      </c>
      <c r="C101" s="2">
        <v>2.043</v>
      </c>
      <c r="D101" s="2">
        <v>6.367</v>
      </c>
      <c r="E101" s="3">
        <v>32.09</v>
      </c>
      <c r="F101" s="3">
        <v>19.53</v>
      </c>
      <c r="G101" t="s">
        <v>112</v>
      </c>
      <c r="H101" s="3">
        <v>34.44</v>
      </c>
      <c r="I101" s="3">
        <f t="shared" si="1"/>
        <v>0.184872241579559</v>
      </c>
      <c r="J101" s="3">
        <v>24.12</v>
      </c>
      <c r="K101" t="s">
        <v>31</v>
      </c>
    </row>
  </sheetData>
  <sheetProtection formatCells="0" formatColumns="0" formatRows="0" insertRows="0" insertColumns="0" insertHyperlinks="0" deleteColumns="0" deleteRows="0" sort="0" autoFilter="0" pivotTables="0"/>
  <sortState ref="B20:K101">
    <sortCondition ref="B20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"/>
    </sheetView>
  </sheetViews>
  <sheetFormatPr defaultColWidth="9" defaultRowHeight="14"/>
  <sheetData>
    <row r="1" spans="1:10">
      <c r="A1" s="1">
        <v>58</v>
      </c>
      <c r="B1" s="2">
        <v>0.514</v>
      </c>
      <c r="C1" s="2">
        <v>5.078</v>
      </c>
      <c r="D1" s="3">
        <v>10.12</v>
      </c>
      <c r="E1" s="3">
        <v>11.5</v>
      </c>
      <c r="F1" t="s">
        <v>11</v>
      </c>
      <c r="G1" s="3">
        <v>29.55</v>
      </c>
      <c r="H1" s="3">
        <f t="shared" ref="H1:H18" si="0">C1/G1</f>
        <v>0.171844331641286</v>
      </c>
      <c r="I1" s="3">
        <v>50.39</v>
      </c>
      <c r="J1" t="s">
        <v>12</v>
      </c>
    </row>
    <row r="2" spans="1:10">
      <c r="A2" s="1">
        <v>62</v>
      </c>
      <c r="B2" s="2">
        <v>0.44</v>
      </c>
      <c r="C2" s="2">
        <v>4.848</v>
      </c>
      <c r="D2" s="3">
        <v>9.08</v>
      </c>
      <c r="E2" s="3">
        <v>6.98</v>
      </c>
      <c r="F2" t="s">
        <v>13</v>
      </c>
      <c r="G2" s="3">
        <v>22.51</v>
      </c>
      <c r="H2" s="3">
        <f t="shared" si="0"/>
        <v>0.215370946246113</v>
      </c>
      <c r="I2" s="3">
        <v>34.93</v>
      </c>
      <c r="J2" t="s">
        <v>12</v>
      </c>
    </row>
    <row r="3" spans="1:10">
      <c r="A3" s="1">
        <v>66</v>
      </c>
      <c r="B3" s="2">
        <v>0.688</v>
      </c>
      <c r="C3" s="2">
        <v>8.785</v>
      </c>
      <c r="D3" s="3">
        <v>7.83</v>
      </c>
      <c r="E3" s="3">
        <v>11.45</v>
      </c>
      <c r="F3" t="s">
        <v>14</v>
      </c>
      <c r="G3" s="3">
        <v>40.55</v>
      </c>
      <c r="H3" s="3">
        <f t="shared" si="0"/>
        <v>0.216646115906289</v>
      </c>
      <c r="I3" s="3">
        <v>49.33</v>
      </c>
      <c r="J3" t="s">
        <v>12</v>
      </c>
    </row>
    <row r="4" spans="1:10">
      <c r="A4" s="1">
        <v>66</v>
      </c>
      <c r="B4" s="2">
        <v>0.922</v>
      </c>
      <c r="C4" s="2">
        <v>7.411</v>
      </c>
      <c r="D4" s="3">
        <v>12.44</v>
      </c>
      <c r="E4" s="3">
        <v>27.69</v>
      </c>
      <c r="F4" t="s">
        <v>15</v>
      </c>
      <c r="G4" s="3">
        <v>31.43</v>
      </c>
      <c r="H4" s="3">
        <f t="shared" si="0"/>
        <v>0.235793827553293</v>
      </c>
      <c r="I4" s="3">
        <v>81.76</v>
      </c>
      <c r="J4" t="s">
        <v>12</v>
      </c>
    </row>
    <row r="5" spans="1:10">
      <c r="A5" s="1">
        <v>66</v>
      </c>
      <c r="B5" s="2">
        <v>1.255</v>
      </c>
      <c r="C5" s="2">
        <v>9.829</v>
      </c>
      <c r="D5" s="3">
        <v>12.77</v>
      </c>
      <c r="E5" s="3">
        <v>32.14</v>
      </c>
      <c r="F5" t="s">
        <v>16</v>
      </c>
      <c r="G5" s="3">
        <v>48.08</v>
      </c>
      <c r="H5" s="3">
        <f t="shared" si="0"/>
        <v>0.204430116472546</v>
      </c>
      <c r="I5" s="3">
        <v>80.28</v>
      </c>
      <c r="J5" t="s">
        <v>12</v>
      </c>
    </row>
    <row r="6" spans="1:10">
      <c r="A6" s="1">
        <v>67</v>
      </c>
      <c r="B6" s="2">
        <v>0.69</v>
      </c>
      <c r="C6" s="2">
        <v>7.473</v>
      </c>
      <c r="D6" s="3">
        <v>9.23</v>
      </c>
      <c r="E6" s="3">
        <v>10.39</v>
      </c>
      <c r="F6" t="s">
        <v>17</v>
      </c>
      <c r="G6" s="3">
        <v>30.3</v>
      </c>
      <c r="H6" s="3">
        <f t="shared" si="0"/>
        <v>0.246633663366337</v>
      </c>
      <c r="I6" s="3">
        <v>41.16</v>
      </c>
      <c r="J6" t="s">
        <v>12</v>
      </c>
    </row>
    <row r="7" spans="1:10">
      <c r="A7" s="1">
        <v>69</v>
      </c>
      <c r="B7" s="2">
        <v>0.792</v>
      </c>
      <c r="C7" s="2">
        <v>6.194</v>
      </c>
      <c r="D7" s="3">
        <v>12.79</v>
      </c>
      <c r="E7" s="3">
        <v>15.13</v>
      </c>
      <c r="F7" t="s">
        <v>18</v>
      </c>
      <c r="G7" s="3">
        <v>38.53</v>
      </c>
      <c r="H7" s="3">
        <f t="shared" si="0"/>
        <v>0.160757851025175</v>
      </c>
      <c r="I7" s="3">
        <v>47.54</v>
      </c>
      <c r="J7" t="s">
        <v>12</v>
      </c>
    </row>
    <row r="8" spans="1:10">
      <c r="A8" s="1">
        <v>69</v>
      </c>
      <c r="B8" s="2">
        <v>0.977</v>
      </c>
      <c r="C8" s="2">
        <v>4.631</v>
      </c>
      <c r="D8" s="3">
        <v>21.1</v>
      </c>
      <c r="E8" s="3">
        <v>18.95</v>
      </c>
      <c r="F8" t="s">
        <v>19</v>
      </c>
      <c r="G8" s="3">
        <v>24.45</v>
      </c>
      <c r="H8" s="3">
        <f t="shared" si="0"/>
        <v>0.189406952965235</v>
      </c>
      <c r="I8" s="3">
        <v>41.73</v>
      </c>
      <c r="J8" t="s">
        <v>12</v>
      </c>
    </row>
    <row r="9" spans="1:10">
      <c r="A9" s="1">
        <v>72</v>
      </c>
      <c r="B9" s="2">
        <v>0.601</v>
      </c>
      <c r="C9" s="2">
        <v>6.282</v>
      </c>
      <c r="D9" s="3">
        <v>9.57</v>
      </c>
      <c r="E9" s="3">
        <v>10.48</v>
      </c>
      <c r="F9" t="s">
        <v>20</v>
      </c>
      <c r="G9" s="3">
        <v>24.71</v>
      </c>
      <c r="H9" s="3">
        <f t="shared" si="0"/>
        <v>0.254229057061918</v>
      </c>
      <c r="I9" s="3">
        <v>43.71</v>
      </c>
      <c r="J9" t="s">
        <v>12</v>
      </c>
    </row>
    <row r="10" spans="1:10">
      <c r="A10" s="1">
        <v>74</v>
      </c>
      <c r="B10" s="2">
        <v>1.364</v>
      </c>
      <c r="C10" s="2">
        <v>8.041</v>
      </c>
      <c r="D10" s="3">
        <v>16.96</v>
      </c>
      <c r="E10" s="3">
        <v>14.01</v>
      </c>
      <c r="F10" t="s">
        <v>21</v>
      </c>
      <c r="G10" s="3">
        <v>38.98</v>
      </c>
      <c r="H10" s="3">
        <f t="shared" si="0"/>
        <v>0.206285274499743</v>
      </c>
      <c r="I10" s="3">
        <v>29.13</v>
      </c>
      <c r="J10" t="s">
        <v>12</v>
      </c>
    </row>
    <row r="11" spans="1:10">
      <c r="A11" s="1">
        <v>74</v>
      </c>
      <c r="B11" s="2">
        <v>1.218</v>
      </c>
      <c r="C11" s="2">
        <v>5.307</v>
      </c>
      <c r="D11" s="3">
        <v>22.95</v>
      </c>
      <c r="E11" s="3">
        <v>20.09</v>
      </c>
      <c r="F11" t="s">
        <v>22</v>
      </c>
      <c r="G11" s="3">
        <v>105.39</v>
      </c>
      <c r="H11" s="3">
        <f t="shared" si="0"/>
        <v>0.0503558212354113</v>
      </c>
      <c r="I11" s="3">
        <v>37.99</v>
      </c>
      <c r="J11" t="s">
        <v>12</v>
      </c>
    </row>
    <row r="12" spans="1:10">
      <c r="A12" s="1">
        <v>75</v>
      </c>
      <c r="B12" s="2">
        <v>1.134</v>
      </c>
      <c r="C12" s="2">
        <v>6.712</v>
      </c>
      <c r="D12" s="3">
        <v>16.9</v>
      </c>
      <c r="E12" s="3">
        <v>25.45</v>
      </c>
      <c r="F12" t="s">
        <v>23</v>
      </c>
      <c r="G12" s="3">
        <v>122.12</v>
      </c>
      <c r="H12" s="3">
        <f t="shared" si="0"/>
        <v>0.0549623321323289</v>
      </c>
      <c r="I12" s="3">
        <v>58.14</v>
      </c>
      <c r="J12" t="s">
        <v>12</v>
      </c>
    </row>
    <row r="13" spans="1:10">
      <c r="A13" s="1">
        <v>76</v>
      </c>
      <c r="B13" s="2">
        <v>0.551</v>
      </c>
      <c r="C13" s="2">
        <v>6.792</v>
      </c>
      <c r="D13" s="3">
        <v>8.11</v>
      </c>
      <c r="E13" s="3">
        <v>14.75</v>
      </c>
      <c r="F13" t="s">
        <v>24</v>
      </c>
      <c r="G13" s="3">
        <v>36.2</v>
      </c>
      <c r="H13" s="3">
        <f t="shared" si="0"/>
        <v>0.187624309392265</v>
      </c>
      <c r="I13" s="3">
        <v>69.77</v>
      </c>
      <c r="J13" t="s">
        <v>12</v>
      </c>
    </row>
    <row r="14" spans="1:10">
      <c r="A14" s="1">
        <v>77</v>
      </c>
      <c r="B14" s="2">
        <v>0.739</v>
      </c>
      <c r="C14" s="2">
        <v>6.319</v>
      </c>
      <c r="D14" s="3">
        <v>11.69</v>
      </c>
      <c r="E14" s="3">
        <v>30.16</v>
      </c>
      <c r="F14" t="s">
        <v>25</v>
      </c>
      <c r="G14" s="3">
        <v>37.44</v>
      </c>
      <c r="H14" s="3">
        <f t="shared" si="0"/>
        <v>0.168776709401709</v>
      </c>
      <c r="I14" s="3">
        <v>102.59</v>
      </c>
      <c r="J14" t="s">
        <v>12</v>
      </c>
    </row>
    <row r="15" spans="1:10">
      <c r="A15" s="1">
        <v>77</v>
      </c>
      <c r="B15" s="2">
        <v>0.557</v>
      </c>
      <c r="C15" s="2">
        <v>4.531</v>
      </c>
      <c r="D15" s="3">
        <v>12.29</v>
      </c>
      <c r="E15" s="3">
        <v>12.55</v>
      </c>
      <c r="F15" t="s">
        <v>26</v>
      </c>
      <c r="G15" s="3">
        <v>37.54</v>
      </c>
      <c r="H15" s="3">
        <f t="shared" si="0"/>
        <v>0.120697922216303</v>
      </c>
      <c r="I15" s="3">
        <v>47.95</v>
      </c>
      <c r="J15" t="s">
        <v>12</v>
      </c>
    </row>
    <row r="16" spans="1:10">
      <c r="A16" s="1">
        <v>79</v>
      </c>
      <c r="B16" s="2">
        <v>1.61</v>
      </c>
      <c r="C16" s="2">
        <v>8.042</v>
      </c>
      <c r="D16" s="3">
        <v>20.02</v>
      </c>
      <c r="E16" s="3">
        <v>17.64</v>
      </c>
      <c r="F16" t="s">
        <v>27</v>
      </c>
      <c r="G16" s="3">
        <v>59.53</v>
      </c>
      <c r="H16" s="3">
        <f t="shared" si="0"/>
        <v>0.13509155047875</v>
      </c>
      <c r="I16" s="3">
        <v>31.07</v>
      </c>
      <c r="J16" t="s">
        <v>12</v>
      </c>
    </row>
    <row r="17" spans="1:10">
      <c r="A17" s="1">
        <v>79</v>
      </c>
      <c r="B17" s="2">
        <v>0.714</v>
      </c>
      <c r="C17" s="2">
        <v>5.806</v>
      </c>
      <c r="D17" s="3">
        <v>12.3</v>
      </c>
      <c r="E17" s="3">
        <v>19.07</v>
      </c>
      <c r="F17" t="s">
        <v>28</v>
      </c>
      <c r="G17" s="3">
        <v>17.18</v>
      </c>
      <c r="H17" s="3">
        <f t="shared" si="0"/>
        <v>0.337951105937136</v>
      </c>
      <c r="I17" s="3">
        <v>64.34</v>
      </c>
      <c r="J17" t="s">
        <v>12</v>
      </c>
    </row>
    <row r="18" spans="1:10">
      <c r="A18" s="1">
        <v>86</v>
      </c>
      <c r="B18" s="2">
        <v>1.189</v>
      </c>
      <c r="C18" s="2">
        <v>5.43</v>
      </c>
      <c r="D18" s="3">
        <v>21.9</v>
      </c>
      <c r="E18" s="3">
        <v>18.21</v>
      </c>
      <c r="F18" t="s">
        <v>29</v>
      </c>
      <c r="G18" s="3">
        <v>58.12</v>
      </c>
      <c r="H18" s="3">
        <f t="shared" si="0"/>
        <v>0.0934273916035788</v>
      </c>
      <c r="I18" s="3">
        <v>35.69</v>
      </c>
      <c r="J18" t="s">
        <v>12</v>
      </c>
    </row>
  </sheetData>
  <sheetProtection formatCells="0" formatColumns="0" formatRows="0" insertRows="0" insertColumns="0" insertHyperlinks="0" deleteColumns="0" deleteRows="0" sort="0" autoFilter="0" pivotTables="0"/>
  <sortState ref="A1:J18">
    <sortCondition ref="A1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3675005474@qq.com</dc:creator>
  <cp:lastModifiedBy>李雨哲~</cp:lastModifiedBy>
  <dcterms:created xsi:type="dcterms:W3CDTF">2026-02-06T19:00:00Z</dcterms:created>
  <dcterms:modified xsi:type="dcterms:W3CDTF">2026-02-08T10:03:24Z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A73A0DE5AC6E4CA983624736E4DAB58C_13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